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Data_Analyst_w_Excel\"/>
    </mc:Choice>
  </mc:AlternateContent>
  <xr:revisionPtr revIDLastSave="0" documentId="8_{E4BC885D-E538-4035-851F-9FAE88E0F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i tap chinh" sheetId="1" r:id="rId1"/>
    <sheet name="Bang luong tra cu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 s="1" a="1"/>
  <c r="N2" i="1" s="1"/>
  <c r="N8" i="1" a="1"/>
  <c r="N8" i="1" s="1"/>
  <c r="N16" i="1" a="1"/>
  <c r="N16" i="1" s="1"/>
  <c r="N17" i="1" a="1"/>
  <c r="N17" i="1" s="1"/>
  <c r="N22" i="1" a="1"/>
  <c r="N22" i="1" s="1"/>
  <c r="N25" i="1" a="1"/>
  <c r="N25" i="1" s="1"/>
  <c r="M22" i="1"/>
  <c r="M23" i="1"/>
  <c r="N23" i="1" s="1" a="1"/>
  <c r="N23" i="1" s="1"/>
  <c r="M24" i="1"/>
  <c r="N24" i="1" s="1" a="1"/>
  <c r="N24" i="1" s="1"/>
  <c r="M25" i="1"/>
  <c r="M26" i="1"/>
  <c r="N26" i="1" s="1" a="1"/>
  <c r="N26" i="1" s="1"/>
  <c r="M27" i="1"/>
  <c r="N27" i="1" s="1" a="1"/>
  <c r="N27" i="1" s="1"/>
  <c r="M28" i="1"/>
  <c r="N28" i="1" s="1" a="1"/>
  <c r="N28" i="1" s="1"/>
  <c r="M29" i="1"/>
  <c r="N29" i="1" s="1" a="1"/>
  <c r="N29" i="1" s="1"/>
  <c r="M30" i="1"/>
  <c r="N30" i="1" s="1" a="1"/>
  <c r="N30" i="1" s="1"/>
  <c r="M31" i="1"/>
  <c r="M3" i="1"/>
  <c r="M4" i="1"/>
  <c r="M5" i="1"/>
  <c r="N5" i="1" s="1" a="1"/>
  <c r="N5" i="1" s="1"/>
  <c r="M6" i="1"/>
  <c r="N6" i="1" s="1" a="1"/>
  <c r="N6" i="1" s="1"/>
  <c r="M7" i="1"/>
  <c r="N7" i="1" s="1" a="1"/>
  <c r="N7" i="1" s="1"/>
  <c r="M8" i="1"/>
  <c r="M9" i="1"/>
  <c r="N9" i="1" s="1" a="1"/>
  <c r="N9" i="1" s="1"/>
  <c r="M10" i="1"/>
  <c r="N10" i="1" s="1" a="1"/>
  <c r="N10" i="1" s="1"/>
  <c r="M11" i="1"/>
  <c r="N11" i="1" s="1" a="1"/>
  <c r="N11" i="1" s="1"/>
  <c r="M12" i="1"/>
  <c r="M13" i="1"/>
  <c r="N13" i="1" s="1" a="1"/>
  <c r="N13" i="1" s="1"/>
  <c r="M14" i="1"/>
  <c r="N14" i="1" s="1" a="1"/>
  <c r="N14" i="1" s="1"/>
  <c r="M15" i="1"/>
  <c r="N15" i="1" s="1" a="1"/>
  <c r="N15" i="1" s="1"/>
  <c r="M16" i="1"/>
  <c r="M17" i="1"/>
  <c r="M18" i="1"/>
  <c r="M19" i="1"/>
  <c r="N19" i="1" s="1" a="1"/>
  <c r="N19" i="1" s="1"/>
  <c r="M20" i="1"/>
  <c r="N20" i="1" s="1" a="1"/>
  <c r="N20" i="1" s="1"/>
  <c r="M21" i="1"/>
  <c r="N21" i="1" s="1" a="1"/>
  <c r="N2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I3" i="1" a="1"/>
  <c r="I3" i="1" s="1"/>
  <c r="N3" i="1" s="1" a="1"/>
  <c r="N3" i="1" s="1"/>
  <c r="I4" i="1" a="1"/>
  <c r="I4" i="1" s="1"/>
  <c r="N4" i="1" s="1" a="1"/>
  <c r="N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N12" i="1" s="1" a="1"/>
  <c r="N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N18" i="1" s="1" a="1"/>
  <c r="N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N31" i="1" s="1" a="1"/>
  <c r="N31" i="1" s="1"/>
  <c r="I2" i="1" a="1"/>
  <c r="I2" i="1" s="1"/>
  <c r="T6" i="1"/>
  <c r="T5" i="1"/>
  <c r="T4" i="1"/>
  <c r="T3" i="1"/>
  <c r="Q2" i="1"/>
  <c r="S6" i="1"/>
  <c r="S5" i="1"/>
  <c r="S4" i="1"/>
  <c r="S3" i="1"/>
  <c r="S2" i="1"/>
  <c r="Q6" i="1"/>
  <c r="Q5" i="1"/>
  <c r="Q4" i="1"/>
  <c r="Q3" i="1"/>
  <c r="P9" i="1" l="1"/>
  <c r="P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<sst xmlns="http://schemas.openxmlformats.org/spreadsheetml/2006/main" count="136" uniqueCount="49">
  <si>
    <t>Bộ phận</t>
  </si>
  <si>
    <t>Doanh thu</t>
  </si>
  <si>
    <t>Sales</t>
  </si>
  <si>
    <t>HR</t>
  </si>
  <si>
    <t>IT</t>
  </si>
  <si>
    <t>Marketing</t>
  </si>
  <si>
    <t>Hoàn thành</t>
  </si>
  <si>
    <t>Chưa hoàn</t>
  </si>
  <si>
    <t>HOANG VAN E</t>
  </si>
  <si>
    <t>DANG THI F</t>
  </si>
  <si>
    <t>TRINH VAN I</t>
  </si>
  <si>
    <t>NGUYEN VAN A</t>
  </si>
  <si>
    <t>BUI VAN G</t>
  </si>
  <si>
    <t>PHAM THI D</t>
  </si>
  <si>
    <t>DO THI H</t>
  </si>
  <si>
    <t>LE VAN C</t>
  </si>
  <si>
    <t>TRAN THI B</t>
  </si>
  <si>
    <t>NGUYEN THI J</t>
  </si>
  <si>
    <t>Lương cơ bản</t>
  </si>
  <si>
    <t>Toàn bộ</t>
  </si>
  <si>
    <t>Xếp loại</t>
  </si>
  <si>
    <t>Xuất sắc</t>
  </si>
  <si>
    <t>Đạt</t>
  </si>
  <si>
    <t>Cần cải thiện</t>
  </si>
  <si>
    <t>từ 5000-8000</t>
  </si>
  <si>
    <t>&gt; 8000</t>
  </si>
  <si>
    <t>&lt;5000</t>
  </si>
  <si>
    <t>Colour</t>
  </si>
  <si>
    <t>Xanh lá</t>
  </si>
  <si>
    <t>Xanh dương</t>
  </si>
  <si>
    <t>Đỏ</t>
  </si>
  <si>
    <t>ID</t>
  </si>
  <si>
    <t>Intro</t>
  </si>
  <si>
    <t>% thưởng theo doanh thu</t>
  </si>
  <si>
    <t>Unit</t>
  </si>
  <si>
    <t>Revenue</t>
  </si>
  <si>
    <t>State</t>
  </si>
  <si>
    <t>Name</t>
  </si>
  <si>
    <t>Standard name</t>
  </si>
  <si>
    <t>Start</t>
  </si>
  <si>
    <t>End</t>
  </si>
  <si>
    <t>Grading</t>
  </si>
  <si>
    <t>Num_days</t>
  </si>
  <si>
    <t>Month</t>
  </si>
  <si>
    <t>Income</t>
  </si>
  <si>
    <t>expected income</t>
  </si>
  <si>
    <t>num_employees</t>
  </si>
  <si>
    <t>R_sum</t>
  </si>
  <si>
    <t>R_average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</si>
</sst>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top"/>
    </xf>
    <xf numFmtId="9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EE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EE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topLeftCell="C10" workbookViewId="0">
      <selection activeCell="J25" sqref="J25"/>
    </sheetView>
  </sheetViews>
  <sheetFormatPr defaultRowHeight="14.4" x14ac:dyDescent="0.3"/>
  <cols>
    <col min="1" max="9" width="14" customWidth="1"/>
    <col min="10" max="10" width="36.109375" customWidth="1"/>
    <col min="11" max="13" width="13.44140625" customWidth="1"/>
    <col min="14" max="14" width="16.44140625" customWidth="1"/>
    <col min="15" max="15" width="13.44140625" customWidth="1"/>
    <col min="16" max="16" width="9.88671875" customWidth="1"/>
    <col min="17" max="17" width="16.33203125" customWidth="1"/>
    <col min="20" max="20" width="11.88671875" customWidth="1"/>
    <col min="22" max="23" width="13.5546875" customWidth="1"/>
  </cols>
  <sheetData>
    <row r="1" spans="1:24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31</v>
      </c>
      <c r="G1" s="1" t="s">
        <v>39</v>
      </c>
      <c r="H1" s="1" t="s">
        <v>40</v>
      </c>
      <c r="I1" s="6" t="s">
        <v>41</v>
      </c>
      <c r="J1" s="1" t="s">
        <v>32</v>
      </c>
      <c r="K1" s="1" t="s">
        <v>42</v>
      </c>
      <c r="L1" s="1" t="s">
        <v>43</v>
      </c>
      <c r="M1" s="1" t="s">
        <v>44</v>
      </c>
      <c r="N1" s="1" t="s">
        <v>45</v>
      </c>
      <c r="O1" s="4"/>
      <c r="P1" s="3" t="s">
        <v>34</v>
      </c>
      <c r="Q1" s="3" t="s">
        <v>46</v>
      </c>
      <c r="S1" s="3" t="s">
        <v>47</v>
      </c>
      <c r="T1" s="3" t="s">
        <v>48</v>
      </c>
      <c r="V1" s="3" t="s">
        <v>1</v>
      </c>
      <c r="W1" s="3" t="s">
        <v>20</v>
      </c>
      <c r="X1" s="3" t="s">
        <v>27</v>
      </c>
    </row>
    <row r="2" spans="1:24" x14ac:dyDescent="0.3">
      <c r="A2" t="s">
        <v>2</v>
      </c>
      <c r="B2">
        <v>5950</v>
      </c>
      <c r="C2" t="s">
        <v>6</v>
      </c>
      <c r="D2" t="s">
        <v>8</v>
      </c>
      <c r="E2" t="str">
        <f>PROPER(D2)</f>
        <v>Hoang Van E</v>
      </c>
      <c r="F2" t="str">
        <f>LEFT(D2,1) &amp; MID(D2,FIND(" ",D2)+1, 1) &amp; RIGHT(D2, 1) &amp; "_" &amp; UPPER(LEFT(A2,3)) &amp; "_" &amp; COUNTIFS(D$2:D2,D2,A$2:A2,A2)</f>
        <v>HVE_SAL_1</v>
      </c>
      <c r="G2" s="2">
        <v>45460</v>
      </c>
      <c r="H2" s="2">
        <v>45467</v>
      </c>
      <c r="I2" t="str" cm="1">
        <f t="array" ref="I2">_xlfn.IFS(B2&gt;8000, "Xuất sắc", B2&gt;=5000, "Đạt", B2&lt;5000, "Cần cải thiện")</f>
        <v>Đạt</v>
      </c>
      <c r="J2" t="str">
        <f>PROPER(D2) &amp; " thuộc bộ phận " &amp; A2</f>
        <v>Hoang Van E thuộc bộ phận Sales</v>
      </c>
      <c r="K2">
        <f>H2-G2</f>
        <v>7</v>
      </c>
      <c r="L2" t="str">
        <f>TEXT(H2, "mmmm")</f>
        <v>June</v>
      </c>
      <c r="M2">
        <f>VLOOKUP(A2, 'Bang luong tra cuu'!$A$2:$B$5, 2, FALSE)</f>
        <v>6000</v>
      </c>
      <c r="N2" cm="1">
        <f t="array" ref="N2">M2+B2*_xlfn.IFS(I2="Xuất sắc",20%, I2="Đạt",10%, I2="Cần cải thiện", 5%)</f>
        <v>6595</v>
      </c>
      <c r="P2" t="s">
        <v>19</v>
      </c>
      <c r="Q2">
        <f>COUNTA(A2:A31)</f>
        <v>30</v>
      </c>
      <c r="S2">
        <f>SUMIF(C2:C31, "Hoàn thành", B2:B31)</f>
        <v>100476</v>
      </c>
      <c r="V2" t="s">
        <v>25</v>
      </c>
      <c r="W2" t="s">
        <v>21</v>
      </c>
      <c r="X2" t="s">
        <v>28</v>
      </c>
    </row>
    <row r="3" spans="1:24" x14ac:dyDescent="0.3">
      <c r="A3" t="s">
        <v>3</v>
      </c>
      <c r="B3">
        <v>4239</v>
      </c>
      <c r="C3" t="s">
        <v>7</v>
      </c>
      <c r="D3" t="s">
        <v>9</v>
      </c>
      <c r="E3" t="str">
        <f t="shared" ref="E3:E31" si="0">PROPER(D3)</f>
        <v>Dang Thi F</v>
      </c>
      <c r="F3" t="str">
        <f>LEFT(D3,1) &amp; MID(D3,FIND(" ",D3)+1, 1) &amp; RIGHT(D3, 1) &amp; "_" &amp; UPPER(LEFT(A3,3)) &amp; "_" &amp; COUNTIFS(D$2:D3,D3,A$2:A3,A3)</f>
        <v>DTF_HR_1</v>
      </c>
      <c r="G3" s="2">
        <v>45448</v>
      </c>
      <c r="H3" s="2">
        <v>45456</v>
      </c>
      <c r="I3" t="str" cm="1">
        <f t="array" ref="I3">_xlfn.IFS(B3&gt;8000, "Xuất sắc", B3&gt;=5000, "Đạt", B3&lt;5000, "Cần cải thiện")</f>
        <v>Cần cải thiện</v>
      </c>
      <c r="J3" t="str">
        <f t="shared" ref="J3:J31" si="1">PROPER(D3) &amp; " thuộc bộ phận " &amp; A3</f>
        <v>Dang Thi F thuộc bộ phận HR</v>
      </c>
      <c r="K3">
        <f t="shared" ref="K3:K31" si="2">H3-G3</f>
        <v>8</v>
      </c>
      <c r="L3" t="str">
        <f t="shared" ref="L3:L31" si="3">TEXT(H3, "mmmm")</f>
        <v>June</v>
      </c>
      <c r="M3">
        <f>VLOOKUP(A3, 'Bang luong tra cuu'!$A$2:$B$5, 2, FALSE)</f>
        <v>4000</v>
      </c>
      <c r="N3" cm="1">
        <f t="array" ref="N3">M3+B3*_xlfn.IFS(I3="Xuất sắc",20%, I3="Đạt",10%, I3="Cần cải thiện", 5%)</f>
        <v>4211.95</v>
      </c>
      <c r="P3" t="s">
        <v>2</v>
      </c>
      <c r="Q3">
        <f>COUNTIF(A2:A31, "Sales")</f>
        <v>7</v>
      </c>
      <c r="S3">
        <f>SUMIFS(B2:B31, A2:A31, "Sales", C2:C31, "Hoàn thành")</f>
        <v>27008</v>
      </c>
      <c r="T3">
        <f>AVERAGEIF(A2:A31, "Sales", B2:B31)</f>
        <v>5357.4285714285716</v>
      </c>
      <c r="V3" t="s">
        <v>24</v>
      </c>
      <c r="W3" t="s">
        <v>22</v>
      </c>
      <c r="X3" t="s">
        <v>29</v>
      </c>
    </row>
    <row r="4" spans="1:24" x14ac:dyDescent="0.3">
      <c r="A4" t="s">
        <v>3</v>
      </c>
      <c r="B4">
        <v>8269</v>
      </c>
      <c r="C4" t="s">
        <v>7</v>
      </c>
      <c r="D4" t="s">
        <v>10</v>
      </c>
      <c r="E4" t="str">
        <f t="shared" si="0"/>
        <v>Trinh Van I</v>
      </c>
      <c r="F4" t="str">
        <f>LEFT(D4,1) &amp; MID(D4,FIND(" ",D4)+1, 1) &amp; RIGHT(D4, 1) &amp; "_" &amp; UPPER(LEFT(A4,3)) &amp; "_" &amp; COUNTIFS(D$2:D4,D4,A$2:A4,A4)</f>
        <v>TVI_HR_1</v>
      </c>
      <c r="G4" s="2">
        <v>45457</v>
      </c>
      <c r="H4" s="2">
        <v>45463</v>
      </c>
      <c r="I4" t="str" cm="1">
        <f t="array" ref="I4">_xlfn.IFS(B4&gt;8000, "Xuất sắc", B4&gt;=5000, "Đạt", B4&lt;5000, "Cần cải thiện")</f>
        <v>Xuất sắc</v>
      </c>
      <c r="J4" t="str">
        <f t="shared" si="1"/>
        <v>Trinh Van I thuộc bộ phận HR</v>
      </c>
      <c r="K4">
        <f t="shared" si="2"/>
        <v>6</v>
      </c>
      <c r="L4" t="str">
        <f t="shared" si="3"/>
        <v>June</v>
      </c>
      <c r="M4">
        <f>VLOOKUP(A4, 'Bang luong tra cuu'!$A$2:$B$5, 2, FALSE)</f>
        <v>4000</v>
      </c>
      <c r="N4" cm="1">
        <f t="array" ref="N4">M4+B4*_xlfn.IFS(I4="Xuất sắc",20%, I4="Đạt",10%, I4="Cần cải thiện", 5%)</f>
        <v>5653.8</v>
      </c>
      <c r="P4" t="s">
        <v>3</v>
      </c>
      <c r="Q4">
        <f>COUNTIF(A2:A31, "HR")</f>
        <v>7</v>
      </c>
      <c r="S4">
        <f>SUMIFS(B2:B31, A2:A31, "HR", C2:C31, "Hoàn thành")</f>
        <v>15183</v>
      </c>
      <c r="T4">
        <f>AVERAGEIF(A2:A31, "HR", B2:B31)</f>
        <v>5866</v>
      </c>
      <c r="V4" t="s">
        <v>26</v>
      </c>
      <c r="W4" t="s">
        <v>23</v>
      </c>
      <c r="X4" t="s">
        <v>30</v>
      </c>
    </row>
    <row r="5" spans="1:24" x14ac:dyDescent="0.3">
      <c r="A5" t="s">
        <v>4</v>
      </c>
      <c r="B5">
        <v>6350</v>
      </c>
      <c r="C5" t="s">
        <v>7</v>
      </c>
      <c r="D5" t="s">
        <v>11</v>
      </c>
      <c r="E5" t="str">
        <f t="shared" si="0"/>
        <v>Nguyen Van A</v>
      </c>
      <c r="F5" t="str">
        <f>LEFT(D5,1) &amp; MID(D5,FIND(" ",D5)+1, 1) &amp; RIGHT(D5, 1) &amp; "_" &amp; UPPER(LEFT(A5,3)) &amp; "_" &amp; COUNTIFS(D$2:D5,D5,A$2:A5,A5)</f>
        <v>NVA_IT_1</v>
      </c>
      <c r="G5" s="2">
        <v>45454</v>
      </c>
      <c r="H5" s="2">
        <v>45459</v>
      </c>
      <c r="I5" t="str" cm="1">
        <f t="array" ref="I5">_xlfn.IFS(B5&gt;8000, "Xuất sắc", B5&gt;=5000, "Đạt", B5&lt;5000, "Cần cải thiện")</f>
        <v>Đạt</v>
      </c>
      <c r="J5" t="str">
        <f t="shared" si="1"/>
        <v>Nguyen Van A thuộc bộ phận IT</v>
      </c>
      <c r="K5">
        <f t="shared" si="2"/>
        <v>5</v>
      </c>
      <c r="L5" t="str">
        <f t="shared" si="3"/>
        <v>June</v>
      </c>
      <c r="M5">
        <f>VLOOKUP(A5, 'Bang luong tra cuu'!$A$2:$B$5, 2, FALSE)</f>
        <v>6500</v>
      </c>
      <c r="N5" cm="1">
        <f t="array" ref="N5">M5+B5*_xlfn.IFS(I5="Xuất sắc",20%, I5="Đạt",10%, I5="Cần cải thiện", 5%)</f>
        <v>7135</v>
      </c>
      <c r="P5" t="s">
        <v>4</v>
      </c>
      <c r="Q5">
        <f>COUNTIF(A2:A31, "IT")</f>
        <v>7</v>
      </c>
      <c r="S5">
        <f>SUMIFS(B2:B31, A2:A31, "IT", C2:C31, "Hoàn thành")</f>
        <v>7824</v>
      </c>
      <c r="T5">
        <f>AVERAGEIF(A2:A31, "IT", B2:B31)</f>
        <v>5138.7142857142853</v>
      </c>
    </row>
    <row r="6" spans="1:24" x14ac:dyDescent="0.3">
      <c r="A6" t="s">
        <v>5</v>
      </c>
      <c r="B6">
        <v>4741</v>
      </c>
      <c r="C6" t="s">
        <v>6</v>
      </c>
      <c r="D6" t="s">
        <v>12</v>
      </c>
      <c r="E6" t="str">
        <f t="shared" si="0"/>
        <v>Bui Van G</v>
      </c>
      <c r="F6" t="str">
        <f>LEFT(D6,1) &amp; MID(D6,FIND(" ",D6)+1, 1) &amp; RIGHT(D6, 1) &amp; "_" &amp; UPPER(LEFT(A6,3)) &amp; "_" &amp; COUNTIFS(D$2:D6,D6,A$2:A6,A6)</f>
        <v>BVG_MAR_1</v>
      </c>
      <c r="G6" s="2">
        <v>45458</v>
      </c>
      <c r="H6" s="2">
        <v>45463</v>
      </c>
      <c r="I6" t="str" cm="1">
        <f t="array" ref="I6">_xlfn.IFS(B6&gt;8000, "Xuất sắc", B6&gt;=5000, "Đạt", B6&lt;5000, "Cần cải thiện")</f>
        <v>Cần cải thiện</v>
      </c>
      <c r="J6" t="str">
        <f t="shared" si="1"/>
        <v>Bui Van G thuộc bộ phận Marketing</v>
      </c>
      <c r="K6">
        <f t="shared" si="2"/>
        <v>5</v>
      </c>
      <c r="L6" t="str">
        <f t="shared" si="3"/>
        <v>June</v>
      </c>
      <c r="M6">
        <f>VLOOKUP(A6, 'Bang luong tra cuu'!$A$2:$B$5, 2, FALSE)</f>
        <v>5500</v>
      </c>
      <c r="N6" cm="1">
        <f t="array" ref="N6">M6+B6*_xlfn.IFS(I6="Xuất sắc",20%, I6="Đạt",10%, I6="Cần cải thiện", 5%)</f>
        <v>5737.05</v>
      </c>
      <c r="P6" t="s">
        <v>5</v>
      </c>
      <c r="Q6">
        <f>COUNTIF(A2:A31, "Marketing")</f>
        <v>9</v>
      </c>
      <c r="S6">
        <f>SUMIFS(B2:B31, A2:A31, "Marketing", C2:C31, "Hoàn thành")</f>
        <v>50461</v>
      </c>
      <c r="T6">
        <f>AVERAGEIF(A2:A31, "Marketing", B2:B31)</f>
        <v>6173.666666666667</v>
      </c>
    </row>
    <row r="7" spans="1:24" x14ac:dyDescent="0.3">
      <c r="A7" t="s">
        <v>3</v>
      </c>
      <c r="B7">
        <v>8123</v>
      </c>
      <c r="C7" t="s">
        <v>7</v>
      </c>
      <c r="D7" t="s">
        <v>13</v>
      </c>
      <c r="E7" t="str">
        <f t="shared" si="0"/>
        <v>Pham Thi D</v>
      </c>
      <c r="F7" t="str">
        <f>LEFT(D7,1) &amp; MID(D7,FIND(" ",D7)+1, 1) &amp; RIGHT(D7, 1) &amp; "_" &amp; UPPER(LEFT(A7,3)) &amp; "_" &amp; COUNTIFS(D$2:D7,D7,A$2:A7,A7)</f>
        <v>PTD_HR_1</v>
      </c>
      <c r="G7" s="2">
        <v>45457</v>
      </c>
      <c r="H7" s="2">
        <v>45466</v>
      </c>
      <c r="I7" t="str" cm="1">
        <f t="array" ref="I7">_xlfn.IFS(B7&gt;8000, "Xuất sắc", B7&gt;=5000, "Đạt", B7&lt;5000, "Cần cải thiện")</f>
        <v>Xuất sắc</v>
      </c>
      <c r="J7" t="str">
        <f t="shared" si="1"/>
        <v>Pham Thi D thuộc bộ phận HR</v>
      </c>
      <c r="K7">
        <f t="shared" si="2"/>
        <v>9</v>
      </c>
      <c r="L7" t="str">
        <f t="shared" si="3"/>
        <v>June</v>
      </c>
      <c r="M7">
        <f>VLOOKUP(A7, 'Bang luong tra cuu'!$A$2:$B$5, 2, FALSE)</f>
        <v>4000</v>
      </c>
      <c r="N7" cm="1">
        <f t="array" ref="N7">M7+B7*_xlfn.IFS(I7="Xuất sắc",20%, I7="Đạt",10%, I7="Cần cải thiện", 5%)</f>
        <v>5624.6</v>
      </c>
    </row>
    <row r="8" spans="1:24" x14ac:dyDescent="0.3">
      <c r="A8" t="s">
        <v>4</v>
      </c>
      <c r="B8">
        <v>7700</v>
      </c>
      <c r="C8" t="s">
        <v>7</v>
      </c>
      <c r="D8" t="s">
        <v>14</v>
      </c>
      <c r="E8" t="str">
        <f t="shared" si="0"/>
        <v>Do Thi H</v>
      </c>
      <c r="F8" t="str">
        <f>LEFT(D8,1) &amp; MID(D8,FIND(" ",D8)+1, 1) &amp; RIGHT(D8, 1) &amp; "_" &amp; UPPER(LEFT(A8,3)) &amp; "_" &amp; COUNTIFS(D$2:D8,D8,A$2:A8,A8)</f>
        <v>DTH_IT_1</v>
      </c>
      <c r="G8" s="2">
        <v>45446</v>
      </c>
      <c r="H8" s="2">
        <v>45455</v>
      </c>
      <c r="I8" t="str" cm="1">
        <f t="array" ref="I8">_xlfn.IFS(B8&gt;8000, "Xuất sắc", B8&gt;=5000, "Đạt", B8&lt;5000, "Cần cải thiện")</f>
        <v>Đạt</v>
      </c>
      <c r="J8" t="str">
        <f t="shared" si="1"/>
        <v>Do Thi H thuộc bộ phận IT</v>
      </c>
      <c r="K8">
        <f t="shared" si="2"/>
        <v>9</v>
      </c>
      <c r="L8" t="str">
        <f t="shared" si="3"/>
        <v>June</v>
      </c>
      <c r="M8">
        <f>VLOOKUP(A8, 'Bang luong tra cuu'!$A$2:$B$5, 2, FALSE)</f>
        <v>6500</v>
      </c>
      <c r="N8" cm="1">
        <f t="array" ref="N8">M8+B8*_xlfn.IFS(I8="Xuất sắc",20%, I8="Đạt",10%, I8="Cần cải thiện", 5%)</f>
        <v>7270</v>
      </c>
      <c r="P8">
        <f>COUNTIF(L2:L31, "June")</f>
        <v>28</v>
      </c>
    </row>
    <row r="9" spans="1:24" x14ac:dyDescent="0.3">
      <c r="A9" t="s">
        <v>5</v>
      </c>
      <c r="B9">
        <v>2927</v>
      </c>
      <c r="C9" t="s">
        <v>6</v>
      </c>
      <c r="D9" t="s">
        <v>14</v>
      </c>
      <c r="E9" t="str">
        <f t="shared" si="0"/>
        <v>Do Thi H</v>
      </c>
      <c r="F9" t="str">
        <f>LEFT(D9,1) &amp; MID(D9,FIND(" ",D9)+1, 1) &amp; RIGHT(D9, 1) &amp; "_" &amp; UPPER(LEFT(A9,3)) &amp; "_" &amp; COUNTIFS(D$2:D9,D9,A$2:A9,A9)</f>
        <v>DTH_MAR_1</v>
      </c>
      <c r="G9" s="2">
        <v>45461</v>
      </c>
      <c r="H9" s="2">
        <v>45464</v>
      </c>
      <c r="I9" t="str" cm="1">
        <f t="array" ref="I9">_xlfn.IFS(B9&gt;8000, "Xuất sắc", B9&gt;=5000, "Đạt", B9&lt;5000, "Cần cải thiện")</f>
        <v>Cần cải thiện</v>
      </c>
      <c r="J9" t="str">
        <f t="shared" si="1"/>
        <v>Do Thi H thuộc bộ phận Marketing</v>
      </c>
      <c r="K9">
        <f t="shared" si="2"/>
        <v>3</v>
      </c>
      <c r="L9" t="str">
        <f t="shared" si="3"/>
        <v>June</v>
      </c>
      <c r="M9">
        <f>VLOOKUP(A9, 'Bang luong tra cuu'!$A$2:$B$5, 2, FALSE)</f>
        <v>5500</v>
      </c>
      <c r="N9" cm="1">
        <f t="array" ref="N9">M9+B9*_xlfn.IFS(I9="Xuất sắc",20%, I9="Đạt",10%, I9="Cần cải thiện", 5%)</f>
        <v>5646.35</v>
      </c>
      <c r="P9">
        <f>COUNTIF(L2:L31, "July")</f>
        <v>2</v>
      </c>
    </row>
    <row r="10" spans="1:24" x14ac:dyDescent="0.3">
      <c r="A10" t="s">
        <v>4</v>
      </c>
      <c r="B10">
        <v>4925</v>
      </c>
      <c r="C10" t="s">
        <v>6</v>
      </c>
      <c r="D10" t="s">
        <v>13</v>
      </c>
      <c r="E10" t="str">
        <f t="shared" si="0"/>
        <v>Pham Thi D</v>
      </c>
      <c r="F10" t="str">
        <f>LEFT(D10,1) &amp; MID(D10,FIND(" ",D10)+1, 1) &amp; RIGHT(D10, 1) &amp; "_" &amp; UPPER(LEFT(A10,3)) &amp; "_" &amp; COUNTIFS(D$2:D10,D10,A$2:A10,A10)</f>
        <v>PTD_IT_1</v>
      </c>
      <c r="G10" s="2">
        <v>45459</v>
      </c>
      <c r="H10" s="2">
        <v>45462</v>
      </c>
      <c r="I10" t="str" cm="1">
        <f t="array" ref="I10">_xlfn.IFS(B10&gt;8000, "Xuất sắc", B10&gt;=5000, "Đạt", B10&lt;5000, "Cần cải thiện")</f>
        <v>Cần cải thiện</v>
      </c>
      <c r="J10" t="str">
        <f t="shared" si="1"/>
        <v>Pham Thi D thuộc bộ phận IT</v>
      </c>
      <c r="K10">
        <f t="shared" si="2"/>
        <v>3</v>
      </c>
      <c r="L10" t="str">
        <f t="shared" si="3"/>
        <v>June</v>
      </c>
      <c r="M10">
        <f>VLOOKUP(A10, 'Bang luong tra cuu'!$A$2:$B$5, 2, FALSE)</f>
        <v>6500</v>
      </c>
      <c r="N10" cm="1">
        <f t="array" ref="N10">M10+B10*_xlfn.IFS(I10="Xuất sắc",20%, I10="Đạt",10%, I10="Cần cải thiện", 5%)</f>
        <v>6746.25</v>
      </c>
    </row>
    <row r="11" spans="1:24" x14ac:dyDescent="0.3">
      <c r="A11" t="s">
        <v>3</v>
      </c>
      <c r="B11">
        <v>8783</v>
      </c>
      <c r="C11" t="s">
        <v>6</v>
      </c>
      <c r="D11" t="s">
        <v>8</v>
      </c>
      <c r="E11" t="str">
        <f t="shared" si="0"/>
        <v>Hoang Van E</v>
      </c>
      <c r="F11" t="str">
        <f>LEFT(D11,1) &amp; MID(D11,FIND(" ",D11)+1, 1) &amp; RIGHT(D11, 1) &amp; "_" &amp; UPPER(LEFT(A11,3)) &amp; "_" &amp; COUNTIFS(D$2:D11,D11,A$2:A11,A11)</f>
        <v>HVE_HR_1</v>
      </c>
      <c r="G11" s="2">
        <v>45446</v>
      </c>
      <c r="H11" s="2">
        <v>45453</v>
      </c>
      <c r="I11" t="str" cm="1">
        <f t="array" ref="I11">_xlfn.IFS(B11&gt;8000, "Xuất sắc", B11&gt;=5000, "Đạt", B11&lt;5000, "Cần cải thiện")</f>
        <v>Xuất sắc</v>
      </c>
      <c r="J11" t="str">
        <f t="shared" si="1"/>
        <v>Hoang Van E thuộc bộ phận HR</v>
      </c>
      <c r="K11">
        <f t="shared" si="2"/>
        <v>7</v>
      </c>
      <c r="L11" t="str">
        <f t="shared" si="3"/>
        <v>June</v>
      </c>
      <c r="M11">
        <f>VLOOKUP(A11, 'Bang luong tra cuu'!$A$2:$B$5, 2, FALSE)</f>
        <v>4000</v>
      </c>
      <c r="N11" cm="1">
        <f t="array" ref="N11">M11+B11*_xlfn.IFS(I11="Xuất sắc",20%, I11="Đạt",10%, I11="Cần cải thiện", 5%)</f>
        <v>5756.6</v>
      </c>
      <c r="P11" s="3" t="s">
        <v>41</v>
      </c>
      <c r="Q11" s="3" t="s">
        <v>33</v>
      </c>
    </row>
    <row r="12" spans="1:24" x14ac:dyDescent="0.3">
      <c r="A12" t="s">
        <v>2</v>
      </c>
      <c r="B12">
        <v>7544</v>
      </c>
      <c r="C12" t="s">
        <v>7</v>
      </c>
      <c r="D12" t="s">
        <v>9</v>
      </c>
      <c r="E12" t="str">
        <f t="shared" si="0"/>
        <v>Dang Thi F</v>
      </c>
      <c r="F12" t="str">
        <f>LEFT(D12,1) &amp; MID(D12,FIND(" ",D12)+1, 1) &amp; RIGHT(D12, 1) &amp; "_" &amp; UPPER(LEFT(A12,3)) &amp; "_" &amp; COUNTIFS(D$2:D12,D12,A$2:A12,A12)</f>
        <v>DTF_SAL_1</v>
      </c>
      <c r="G12" s="2">
        <v>45447</v>
      </c>
      <c r="H12" s="2">
        <v>45453</v>
      </c>
      <c r="I12" t="str" cm="1">
        <f t="array" ref="I12">_xlfn.IFS(B12&gt;8000, "Xuất sắc", B12&gt;=5000, "Đạt", B12&lt;5000, "Cần cải thiện")</f>
        <v>Đạt</v>
      </c>
      <c r="J12" t="str">
        <f t="shared" si="1"/>
        <v>Dang Thi F thuộc bộ phận Sales</v>
      </c>
      <c r="K12">
        <f t="shared" si="2"/>
        <v>6</v>
      </c>
      <c r="L12" t="str">
        <f t="shared" si="3"/>
        <v>June</v>
      </c>
      <c r="M12">
        <f>VLOOKUP(A12, 'Bang luong tra cuu'!$A$2:$B$5, 2, FALSE)</f>
        <v>6000</v>
      </c>
      <c r="N12" cm="1">
        <f t="array" ref="N12">M12+B12*_xlfn.IFS(I12="Xuất sắc",20%, I12="Đạt",10%, I12="Cần cải thiện", 5%)</f>
        <v>6754.4</v>
      </c>
      <c r="P12" t="s">
        <v>21</v>
      </c>
      <c r="Q12" s="5">
        <v>0.2</v>
      </c>
    </row>
    <row r="13" spans="1:24" x14ac:dyDescent="0.3">
      <c r="A13" t="s">
        <v>2</v>
      </c>
      <c r="B13">
        <v>4811</v>
      </c>
      <c r="C13" t="s">
        <v>6</v>
      </c>
      <c r="D13" t="s">
        <v>15</v>
      </c>
      <c r="E13" t="str">
        <f t="shared" si="0"/>
        <v>Le Van C</v>
      </c>
      <c r="F13" t="str">
        <f>LEFT(D13,1) &amp; MID(D13,FIND(" ",D13)+1, 1) &amp; RIGHT(D13, 1) &amp; "_" &amp; UPPER(LEFT(A13,3)) &amp; "_" &amp; COUNTIFS(D$2:D13,D13,A$2:A13,A13)</f>
        <v>LVC_SAL_1</v>
      </c>
      <c r="G13" s="2">
        <v>45453</v>
      </c>
      <c r="H13" s="2">
        <v>45461</v>
      </c>
      <c r="I13" t="str" cm="1">
        <f t="array" ref="I13">_xlfn.IFS(B13&gt;8000, "Xuất sắc", B13&gt;=5000, "Đạt", B13&lt;5000, "Cần cải thiện")</f>
        <v>Cần cải thiện</v>
      </c>
      <c r="J13" t="str">
        <f t="shared" si="1"/>
        <v>Le Van C thuộc bộ phận Sales</v>
      </c>
      <c r="K13">
        <f t="shared" si="2"/>
        <v>8</v>
      </c>
      <c r="L13" t="str">
        <f t="shared" si="3"/>
        <v>June</v>
      </c>
      <c r="M13">
        <f>VLOOKUP(A13, 'Bang luong tra cuu'!$A$2:$B$5, 2, FALSE)</f>
        <v>6000</v>
      </c>
      <c r="N13" cm="1">
        <f t="array" ref="N13">M13+B13*_xlfn.IFS(I13="Xuất sắc",20%, I13="Đạt",10%, I13="Cần cải thiện", 5%)</f>
        <v>6240.55</v>
      </c>
      <c r="P13" t="s">
        <v>22</v>
      </c>
      <c r="Q13" s="5">
        <v>0.1</v>
      </c>
    </row>
    <row r="14" spans="1:24" x14ac:dyDescent="0.3">
      <c r="A14" t="s">
        <v>4</v>
      </c>
      <c r="B14">
        <v>5680</v>
      </c>
      <c r="C14" t="s">
        <v>7</v>
      </c>
      <c r="D14" t="s">
        <v>13</v>
      </c>
      <c r="E14" t="str">
        <f t="shared" si="0"/>
        <v>Pham Thi D</v>
      </c>
      <c r="F14" t="str">
        <f>LEFT(D14,1) &amp; MID(D14,FIND(" ",D14)+1, 1) &amp; RIGHT(D14, 1) &amp; "_" &amp; UPPER(LEFT(A14,3)) &amp; "_" &amp; COUNTIFS(D$2:D14,D14,A$2:A14,A14)</f>
        <v>PTD_IT_2</v>
      </c>
      <c r="G14" s="2">
        <v>45458</v>
      </c>
      <c r="H14" s="2">
        <v>45463</v>
      </c>
      <c r="I14" t="str" cm="1">
        <f t="array" ref="I14">_xlfn.IFS(B14&gt;8000, "Xuất sắc", B14&gt;=5000, "Đạt", B14&lt;5000, "Cần cải thiện")</f>
        <v>Đạt</v>
      </c>
      <c r="J14" t="str">
        <f t="shared" si="1"/>
        <v>Pham Thi D thuộc bộ phận IT</v>
      </c>
      <c r="K14">
        <f t="shared" si="2"/>
        <v>5</v>
      </c>
      <c r="L14" t="str">
        <f t="shared" si="3"/>
        <v>June</v>
      </c>
      <c r="M14">
        <f>VLOOKUP(A14, 'Bang luong tra cuu'!$A$2:$B$5, 2, FALSE)</f>
        <v>6500</v>
      </c>
      <c r="N14" cm="1">
        <f t="array" ref="N14">M14+B14*_xlfn.IFS(I14="Xuất sắc",20%, I14="Đạt",10%, I14="Cần cải thiện", 5%)</f>
        <v>7068</v>
      </c>
      <c r="P14" t="s">
        <v>23</v>
      </c>
      <c r="Q14" s="5">
        <v>0.05</v>
      </c>
    </row>
    <row r="15" spans="1:24" x14ac:dyDescent="0.3">
      <c r="A15" t="s">
        <v>5</v>
      </c>
      <c r="B15">
        <v>9965</v>
      </c>
      <c r="C15" t="s">
        <v>6</v>
      </c>
      <c r="D15" t="s">
        <v>11</v>
      </c>
      <c r="E15" t="str">
        <f t="shared" si="0"/>
        <v>Nguyen Van A</v>
      </c>
      <c r="F15" t="str">
        <f>LEFT(D15,1) &amp; MID(D15,FIND(" ",D15)+1, 1) &amp; RIGHT(D15, 1) &amp; "_" &amp; UPPER(LEFT(A15,3)) &amp; "_" &amp; COUNTIFS(D$2:D15,D15,A$2:A15,A15)</f>
        <v>NVA_MAR_1</v>
      </c>
      <c r="G15" s="2">
        <v>45449</v>
      </c>
      <c r="H15" s="2">
        <v>45481</v>
      </c>
      <c r="I15" t="str" cm="1">
        <f t="array" ref="I15">_xlfn.IFS(B15&gt;8000, "Xuất sắc", B15&gt;=5000, "Đạt", B15&lt;5000, "Cần cải thiện")</f>
        <v>Xuất sắc</v>
      </c>
      <c r="J15" t="str">
        <f t="shared" si="1"/>
        <v>Nguyen Van A thuộc bộ phận Marketing</v>
      </c>
      <c r="K15">
        <f t="shared" si="2"/>
        <v>32</v>
      </c>
      <c r="L15" t="str">
        <f t="shared" si="3"/>
        <v>July</v>
      </c>
      <c r="M15">
        <f>VLOOKUP(A15, 'Bang luong tra cuu'!$A$2:$B$5, 2, FALSE)</f>
        <v>5500</v>
      </c>
      <c r="N15" cm="1">
        <f t="array" ref="N15">M15+B15*_xlfn.IFS(I15="Xuất sắc",20%, I15="Đạt",10%, I15="Cần cải thiện", 5%)</f>
        <v>7493</v>
      </c>
    </row>
    <row r="16" spans="1:24" x14ac:dyDescent="0.3">
      <c r="A16" t="s">
        <v>3</v>
      </c>
      <c r="B16">
        <v>5248</v>
      </c>
      <c r="C16" t="s">
        <v>7</v>
      </c>
      <c r="D16" t="s">
        <v>9</v>
      </c>
      <c r="E16" t="str">
        <f t="shared" si="0"/>
        <v>Dang Thi F</v>
      </c>
      <c r="F16" t="str">
        <f>LEFT(D16,1) &amp; MID(D16,FIND(" ",D16)+1, 1) &amp; RIGHT(D16, 1) &amp; "_" &amp; UPPER(LEFT(A16,3)) &amp; "_" &amp; COUNTIFS(D$2:D16,D16,A$2:A16,A16)</f>
        <v>DTF_HR_2</v>
      </c>
      <c r="G16" s="2">
        <v>45462</v>
      </c>
      <c r="H16" s="2">
        <v>45464</v>
      </c>
      <c r="I16" t="str" cm="1">
        <f t="array" ref="I16">_xlfn.IFS(B16&gt;8000, "Xuất sắc", B16&gt;=5000, "Đạt", B16&lt;5000, "Cần cải thiện")</f>
        <v>Đạt</v>
      </c>
      <c r="J16" t="str">
        <f t="shared" si="1"/>
        <v>Dang Thi F thuộc bộ phận HR</v>
      </c>
      <c r="K16">
        <f t="shared" si="2"/>
        <v>2</v>
      </c>
      <c r="L16" t="str">
        <f t="shared" si="3"/>
        <v>June</v>
      </c>
      <c r="M16">
        <f>VLOOKUP(A16, 'Bang luong tra cuu'!$A$2:$B$5, 2, FALSE)</f>
        <v>4000</v>
      </c>
      <c r="N16" cm="1">
        <f t="array" ref="N16">M16+B16*_xlfn.IFS(I16="Xuất sắc",20%, I16="Đạt",10%, I16="Cần cải thiện", 5%)</f>
        <v>4524.8</v>
      </c>
    </row>
    <row r="17" spans="1:14" x14ac:dyDescent="0.3">
      <c r="A17" t="s">
        <v>5</v>
      </c>
      <c r="B17">
        <v>5062</v>
      </c>
      <c r="C17" t="s">
        <v>6</v>
      </c>
      <c r="D17" t="s">
        <v>11</v>
      </c>
      <c r="E17" t="str">
        <f t="shared" si="0"/>
        <v>Nguyen Van A</v>
      </c>
      <c r="F17" t="str">
        <f>LEFT(D17,1) &amp; MID(D17,FIND(" ",D17)+1, 1) &amp; RIGHT(D17, 1) &amp; "_" &amp; UPPER(LEFT(A17,3)) &amp; "_" &amp; COUNTIFS(D$2:D17,D17,A$2:A17,A17)</f>
        <v>NVA_MAR_2</v>
      </c>
      <c r="G17" s="2">
        <v>45453</v>
      </c>
      <c r="H17" s="2">
        <v>45456</v>
      </c>
      <c r="I17" t="str" cm="1">
        <f t="array" ref="I17">_xlfn.IFS(B17&gt;8000, "Xuất sắc", B17&gt;=5000, "Đạt", B17&lt;5000, "Cần cải thiện")</f>
        <v>Đạt</v>
      </c>
      <c r="J17" t="str">
        <f t="shared" si="1"/>
        <v>Nguyen Van A thuộc bộ phận Marketing</v>
      </c>
      <c r="K17">
        <f t="shared" si="2"/>
        <v>3</v>
      </c>
      <c r="L17" t="str">
        <f t="shared" si="3"/>
        <v>June</v>
      </c>
      <c r="M17">
        <f>VLOOKUP(A17, 'Bang luong tra cuu'!$A$2:$B$5, 2, FALSE)</f>
        <v>5500</v>
      </c>
      <c r="N17" cm="1">
        <f t="array" ref="N17">M17+B17*_xlfn.IFS(I17="Xuất sắc",20%, I17="Đạt",10%, I17="Cần cải thiện", 5%)</f>
        <v>6006.2</v>
      </c>
    </row>
    <row r="18" spans="1:14" x14ac:dyDescent="0.3">
      <c r="A18" t="s">
        <v>2</v>
      </c>
      <c r="B18">
        <v>2950</v>
      </c>
      <c r="C18" t="s">
        <v>7</v>
      </c>
      <c r="D18" t="s">
        <v>16</v>
      </c>
      <c r="E18" t="str">
        <f t="shared" si="0"/>
        <v>Tran Thi B</v>
      </c>
      <c r="F18" t="str">
        <f>LEFT(D18,1) &amp; MID(D18,FIND(" ",D18)+1, 1) &amp; RIGHT(D18, 1) &amp; "_" &amp; UPPER(LEFT(A18,3)) &amp; "_" &amp; COUNTIFS(D$2:D18,D18,A$2:A18,A18)</f>
        <v>TTB_SAL_1</v>
      </c>
      <c r="G18" s="2">
        <v>45462</v>
      </c>
      <c r="H18" s="2">
        <v>45470</v>
      </c>
      <c r="I18" t="str" cm="1">
        <f t="array" ref="I18">_xlfn.IFS(B18&gt;8000, "Xuất sắc", B18&gt;=5000, "Đạt", B18&lt;5000, "Cần cải thiện")</f>
        <v>Cần cải thiện</v>
      </c>
      <c r="J18" t="str">
        <f t="shared" si="1"/>
        <v>Tran Thi B thuộc bộ phận Sales</v>
      </c>
      <c r="K18">
        <f t="shared" si="2"/>
        <v>8</v>
      </c>
      <c r="L18" t="str">
        <f t="shared" si="3"/>
        <v>June</v>
      </c>
      <c r="M18">
        <f>VLOOKUP(A18, 'Bang luong tra cuu'!$A$2:$B$5, 2, FALSE)</f>
        <v>6000</v>
      </c>
      <c r="N18" cm="1">
        <f t="array" ref="N18">M18+B18*_xlfn.IFS(I18="Xuất sắc",20%, I18="Đạt",10%, I18="Cần cải thiện", 5%)</f>
        <v>6147.5</v>
      </c>
    </row>
    <row r="19" spans="1:14" x14ac:dyDescent="0.3">
      <c r="A19" t="s">
        <v>4</v>
      </c>
      <c r="B19">
        <v>2899</v>
      </c>
      <c r="C19" t="s">
        <v>6</v>
      </c>
      <c r="D19" t="s">
        <v>17</v>
      </c>
      <c r="E19" t="str">
        <f t="shared" si="0"/>
        <v>Nguyen Thi J</v>
      </c>
      <c r="F19" t="str">
        <f>LEFT(D19,1) &amp; MID(D19,FIND(" ",D19)+1, 1) &amp; RIGHT(D19, 1) &amp; "_" &amp; UPPER(LEFT(A19,3)) &amp; "_" &amp; COUNTIFS(D$2:D19,D19,A$2:A19,A19)</f>
        <v>NTJ_IT_1</v>
      </c>
      <c r="G19" s="2">
        <v>45446</v>
      </c>
      <c r="H19" s="2">
        <v>45450</v>
      </c>
      <c r="I19" t="str" cm="1">
        <f t="array" ref="I19">_xlfn.IFS(B19&gt;8000, "Xuất sắc", B19&gt;=5000, "Đạt", B19&lt;5000, "Cần cải thiện")</f>
        <v>Cần cải thiện</v>
      </c>
      <c r="J19" t="str">
        <f t="shared" si="1"/>
        <v>Nguyen Thi J thuộc bộ phận IT</v>
      </c>
      <c r="K19">
        <f t="shared" si="2"/>
        <v>4</v>
      </c>
      <c r="L19" t="str">
        <f t="shared" si="3"/>
        <v>June</v>
      </c>
      <c r="M19">
        <f>VLOOKUP(A19, 'Bang luong tra cuu'!$A$2:$B$5, 2, FALSE)</f>
        <v>6500</v>
      </c>
      <c r="N19" cm="1">
        <f t="array" ref="N19">M19+B19*_xlfn.IFS(I19="Xuất sắc",20%, I19="Đạt",10%, I19="Cần cải thiện", 5%)</f>
        <v>6644.95</v>
      </c>
    </row>
    <row r="20" spans="1:14" x14ac:dyDescent="0.3">
      <c r="A20" t="s">
        <v>4</v>
      </c>
      <c r="B20">
        <v>5771</v>
      </c>
      <c r="C20" t="s">
        <v>7</v>
      </c>
      <c r="D20" t="s">
        <v>8</v>
      </c>
      <c r="E20" t="str">
        <f t="shared" si="0"/>
        <v>Hoang Van E</v>
      </c>
      <c r="F20" t="str">
        <f>LEFT(D20,1) &amp; MID(D20,FIND(" ",D20)+1, 1) &amp; RIGHT(D20, 1) &amp; "_" &amp; UPPER(LEFT(A20,3)) &amp; "_" &amp; COUNTIFS(D$2:D20,D20,A$2:A20,A20)</f>
        <v>HVE_IT_1</v>
      </c>
      <c r="G20" s="2">
        <v>45457</v>
      </c>
      <c r="H20" s="2">
        <v>45463</v>
      </c>
      <c r="I20" t="str" cm="1">
        <f t="array" ref="I20">_xlfn.IFS(B20&gt;8000, "Xuất sắc", B20&gt;=5000, "Đạt", B20&lt;5000, "Cần cải thiện")</f>
        <v>Đạt</v>
      </c>
      <c r="J20" t="str">
        <f t="shared" si="1"/>
        <v>Hoang Van E thuộc bộ phận IT</v>
      </c>
      <c r="K20">
        <f t="shared" si="2"/>
        <v>6</v>
      </c>
      <c r="L20" t="str">
        <f t="shared" si="3"/>
        <v>June</v>
      </c>
      <c r="M20">
        <f>VLOOKUP(A20, 'Bang luong tra cuu'!$A$2:$B$5, 2, FALSE)</f>
        <v>6500</v>
      </c>
      <c r="N20" cm="1">
        <f t="array" ref="N20">M20+B20*_xlfn.IFS(I20="Xuất sắc",20%, I20="Đạt",10%, I20="Cần cải thiện", 5%)</f>
        <v>7077.1</v>
      </c>
    </row>
    <row r="21" spans="1:14" x14ac:dyDescent="0.3">
      <c r="A21" t="s">
        <v>4</v>
      </c>
      <c r="B21">
        <v>2646</v>
      </c>
      <c r="C21" t="s">
        <v>7</v>
      </c>
      <c r="D21" t="s">
        <v>11</v>
      </c>
      <c r="E21" t="str">
        <f t="shared" si="0"/>
        <v>Nguyen Van A</v>
      </c>
      <c r="F21" t="str">
        <f>LEFT(D21,1) &amp; MID(D21,FIND(" ",D21)+1, 1) &amp; RIGHT(D21, 1) &amp; "_" &amp; UPPER(LEFT(A21,3)) &amp; "_" &amp; COUNTIFS(D$2:D21,D21,A$2:A21,A21)</f>
        <v>NVA_IT_2</v>
      </c>
      <c r="G21" s="2">
        <v>45456</v>
      </c>
      <c r="H21" s="2">
        <v>45459</v>
      </c>
      <c r="I21" t="str" cm="1">
        <f t="array" ref="I21">_xlfn.IFS(B21&gt;8000, "Xuất sắc", B21&gt;=5000, "Đạt", B21&lt;5000, "Cần cải thiện")</f>
        <v>Cần cải thiện</v>
      </c>
      <c r="J21" t="str">
        <f t="shared" si="1"/>
        <v>Nguyen Van A thuộc bộ phận IT</v>
      </c>
      <c r="K21">
        <f t="shared" si="2"/>
        <v>3</v>
      </c>
      <c r="L21" t="str">
        <f t="shared" si="3"/>
        <v>June</v>
      </c>
      <c r="M21">
        <f>VLOOKUP(A21, 'Bang luong tra cuu'!$A$2:$B$5, 2, FALSE)</f>
        <v>6500</v>
      </c>
      <c r="N21" cm="1">
        <f t="array" ref="N21">M21+B21*_xlfn.IFS(I21="Xuất sắc",20%, I21="Đạt",10%, I21="Cần cải thiện", 5%)</f>
        <v>6632.3</v>
      </c>
    </row>
    <row r="22" spans="1:14" x14ac:dyDescent="0.3">
      <c r="A22" t="s">
        <v>5</v>
      </c>
      <c r="B22">
        <v>8864</v>
      </c>
      <c r="C22" t="s">
        <v>6</v>
      </c>
      <c r="D22" t="s">
        <v>13</v>
      </c>
      <c r="E22" t="str">
        <f t="shared" si="0"/>
        <v>Pham Thi D</v>
      </c>
      <c r="F22" t="str">
        <f>LEFT(D22,1) &amp; MID(D22,FIND(" ",D22)+1, 1) &amp; RIGHT(D22, 1) &amp; "_" &amp; UPPER(LEFT(A22,3)) &amp; "_" &amp; COUNTIFS(D$2:D22,D22,A$2:A22,A22)</f>
        <v>PTD_MAR_1</v>
      </c>
      <c r="G22" s="2">
        <v>45445</v>
      </c>
      <c r="H22" s="2">
        <v>45454</v>
      </c>
      <c r="I22" t="str" cm="1">
        <f t="array" ref="I22">_xlfn.IFS(B22&gt;8000, "Xuất sắc", B22&gt;=5000, "Đạt", B22&lt;5000, "Cần cải thiện")</f>
        <v>Xuất sắc</v>
      </c>
      <c r="J22" t="str">
        <f t="shared" si="1"/>
        <v>Pham Thi D thuộc bộ phận Marketing</v>
      </c>
      <c r="K22">
        <f t="shared" si="2"/>
        <v>9</v>
      </c>
      <c r="L22" t="str">
        <f t="shared" si="3"/>
        <v>June</v>
      </c>
      <c r="M22">
        <f>VLOOKUP(A22, 'Bang luong tra cuu'!$A$2:$B$5, 2, FALSE)</f>
        <v>5500</v>
      </c>
      <c r="N22" cm="1">
        <f t="array" ref="N22">M22+B22*_xlfn.IFS(I22="Xuất sắc",20%, I22="Đạt",10%, I22="Cần cải thiện", 5%)</f>
        <v>7272.8</v>
      </c>
    </row>
    <row r="23" spans="1:14" x14ac:dyDescent="0.3">
      <c r="A23" t="s">
        <v>5</v>
      </c>
      <c r="B23">
        <v>8659</v>
      </c>
      <c r="C23" t="s">
        <v>6</v>
      </c>
      <c r="D23" t="s">
        <v>12</v>
      </c>
      <c r="E23" t="str">
        <f t="shared" si="0"/>
        <v>Bui Van G</v>
      </c>
      <c r="F23" t="str">
        <f>LEFT(D23,1) &amp; MID(D23,FIND(" ",D23)+1, 1) &amp; RIGHT(D23, 1) &amp; "_" &amp; UPPER(LEFT(A23,3)) &amp; "_" &amp; COUNTIFS(D$2:D23,D23,A$2:A23,A23)</f>
        <v>BVG_MAR_2</v>
      </c>
      <c r="G23" s="2">
        <v>45457</v>
      </c>
      <c r="H23" s="2">
        <v>45459</v>
      </c>
      <c r="I23" t="str" cm="1">
        <f t="array" ref="I23">_xlfn.IFS(B23&gt;8000, "Xuất sắc", B23&gt;=5000, "Đạt", B23&lt;5000, "Cần cải thiện")</f>
        <v>Xuất sắc</v>
      </c>
      <c r="J23" t="str">
        <f t="shared" si="1"/>
        <v>Bui Van G thuộc bộ phận Marketing</v>
      </c>
      <c r="K23">
        <f t="shared" si="2"/>
        <v>2</v>
      </c>
      <c r="L23" t="str">
        <f t="shared" si="3"/>
        <v>June</v>
      </c>
      <c r="M23">
        <f>VLOOKUP(A23, 'Bang luong tra cuu'!$A$2:$B$5, 2, FALSE)</f>
        <v>5500</v>
      </c>
      <c r="N23" cm="1">
        <f t="array" ref="N23">M23+B23*_xlfn.IFS(I23="Xuất sắc",20%, I23="Đạt",10%, I23="Cần cải thiện", 5%)</f>
        <v>7231.8</v>
      </c>
    </row>
    <row r="24" spans="1:14" x14ac:dyDescent="0.3">
      <c r="A24" t="s">
        <v>2</v>
      </c>
      <c r="B24">
        <v>2125</v>
      </c>
      <c r="C24" t="s">
        <v>6</v>
      </c>
      <c r="D24" t="s">
        <v>16</v>
      </c>
      <c r="E24" t="str">
        <f t="shared" si="0"/>
        <v>Tran Thi B</v>
      </c>
      <c r="F24" t="str">
        <f>LEFT(D24,1) &amp; MID(D24,FIND(" ",D24)+1, 1) &amp; RIGHT(D24, 1) &amp; "_" &amp; UPPER(LEFT(A24,3)) &amp; "_" &amp; COUNTIFS(D$2:D24,D24,A$2:A24,A24)</f>
        <v>TTB_SAL_2</v>
      </c>
      <c r="G24" s="2">
        <v>45444</v>
      </c>
      <c r="H24" s="2">
        <v>45450</v>
      </c>
      <c r="I24" t="str" cm="1">
        <f t="array" ref="I24">_xlfn.IFS(B24&gt;8000, "Xuất sắc", B24&gt;=5000, "Đạt", B24&lt;5000, "Cần cải thiện")</f>
        <v>Cần cải thiện</v>
      </c>
      <c r="J24" t="str">
        <f t="shared" si="1"/>
        <v>Tran Thi B thuộc bộ phận Sales</v>
      </c>
      <c r="K24">
        <f t="shared" si="2"/>
        <v>6</v>
      </c>
      <c r="L24" t="str">
        <f t="shared" si="3"/>
        <v>June</v>
      </c>
      <c r="M24">
        <f>VLOOKUP(A24, 'Bang luong tra cuu'!$A$2:$B$5, 2, FALSE)</f>
        <v>6000</v>
      </c>
      <c r="N24" cm="1">
        <f t="array" ref="N24">M24+B24*_xlfn.IFS(I24="Xuất sắc",20%, I24="Đạt",10%, I24="Cần cải thiện", 5%)</f>
        <v>6106.25</v>
      </c>
    </row>
    <row r="25" spans="1:14" x14ac:dyDescent="0.3">
      <c r="A25" t="s">
        <v>3</v>
      </c>
      <c r="B25">
        <v>4323</v>
      </c>
      <c r="C25" t="s">
        <v>6</v>
      </c>
      <c r="D25" t="s">
        <v>17</v>
      </c>
      <c r="E25" t="str">
        <f t="shared" si="0"/>
        <v>Nguyen Thi J</v>
      </c>
      <c r="F25" t="str">
        <f>LEFT(D25,1) &amp; MID(D25,FIND(" ",D25)+1, 1) &amp; RIGHT(D25, 1) &amp; "_" &amp; UPPER(LEFT(A25,3)) &amp; "_" &amp; COUNTIFS(D$2:D25,D25,A$2:A25,A25)</f>
        <v>NTJ_HR_1</v>
      </c>
      <c r="G25" s="2">
        <v>45453</v>
      </c>
      <c r="H25" s="2">
        <v>45457</v>
      </c>
      <c r="I25" t="str" cm="1">
        <f t="array" ref="I25">_xlfn.IFS(B25&gt;8000, "Xuất sắc", B25&gt;=5000, "Đạt", B25&lt;5000, "Cần cải thiện")</f>
        <v>Cần cải thiện</v>
      </c>
      <c r="J25" t="str">
        <f t="shared" si="1"/>
        <v>Nguyen Thi J thuộc bộ phận HR</v>
      </c>
      <c r="K25">
        <f t="shared" si="2"/>
        <v>4</v>
      </c>
      <c r="L25" t="str">
        <f t="shared" si="3"/>
        <v>June</v>
      </c>
      <c r="M25">
        <f>VLOOKUP(A25, 'Bang luong tra cuu'!$A$2:$B$5, 2, FALSE)</f>
        <v>4000</v>
      </c>
      <c r="N25" cm="1">
        <f t="array" ref="N25">M25+B25*_xlfn.IFS(I25="Xuất sắc",20%, I25="Đạt",10%, I25="Cần cải thiện", 5%)</f>
        <v>4216.1499999999996</v>
      </c>
    </row>
    <row r="26" spans="1:14" x14ac:dyDescent="0.3">
      <c r="A26" t="s">
        <v>2</v>
      </c>
      <c r="B26">
        <v>7969</v>
      </c>
      <c r="C26" t="s">
        <v>6</v>
      </c>
      <c r="D26" t="s">
        <v>10</v>
      </c>
      <c r="E26" t="str">
        <f t="shared" si="0"/>
        <v>Trinh Van I</v>
      </c>
      <c r="F26" t="str">
        <f>LEFT(D26,1) &amp; MID(D26,FIND(" ",D26)+1, 1) &amp; RIGHT(D26, 1) &amp; "_" &amp; UPPER(LEFT(A26,3)) &amp; "_" &amp; COUNTIFS(D$2:D26,D26,A$2:A26,A26)</f>
        <v>TVI_SAL_1</v>
      </c>
      <c r="G26" s="2">
        <v>45458</v>
      </c>
      <c r="H26" s="2">
        <v>45460</v>
      </c>
      <c r="I26" t="str" cm="1">
        <f t="array" ref="I26">_xlfn.IFS(B26&gt;8000, "Xuất sắc", B26&gt;=5000, "Đạt", B26&lt;5000, "Cần cải thiện")</f>
        <v>Đạt</v>
      </c>
      <c r="J26" t="str">
        <f t="shared" si="1"/>
        <v>Trinh Van I thuộc bộ phận Sales</v>
      </c>
      <c r="K26">
        <f t="shared" si="2"/>
        <v>2</v>
      </c>
      <c r="L26" t="str">
        <f t="shared" si="3"/>
        <v>June</v>
      </c>
      <c r="M26">
        <f>VLOOKUP(A26, 'Bang luong tra cuu'!$A$2:$B$5, 2, FALSE)</f>
        <v>6000</v>
      </c>
      <c r="N26" cm="1">
        <f t="array" ref="N26">M26+B26*_xlfn.IFS(I26="Xuất sắc",20%, I26="Đạt",10%, I26="Cần cải thiện", 5%)</f>
        <v>6796.9</v>
      </c>
    </row>
    <row r="27" spans="1:14" x14ac:dyDescent="0.3">
      <c r="A27" t="s">
        <v>5</v>
      </c>
      <c r="B27">
        <v>8162</v>
      </c>
      <c r="C27" t="s">
        <v>6</v>
      </c>
      <c r="D27" t="s">
        <v>9</v>
      </c>
      <c r="E27" t="str">
        <f t="shared" si="0"/>
        <v>Dang Thi F</v>
      </c>
      <c r="F27" t="str">
        <f>LEFT(D27,1) &amp; MID(D27,FIND(" ",D27)+1, 1) &amp; RIGHT(D27, 1) &amp; "_" &amp; UPPER(LEFT(A27,3)) &amp; "_" &amp; COUNTIFS(D$2:D27,D27,A$2:A27,A27)</f>
        <v>DTF_MAR_1</v>
      </c>
      <c r="G27" s="2">
        <v>45460</v>
      </c>
      <c r="H27" s="2">
        <v>45468</v>
      </c>
      <c r="I27" t="str" cm="1">
        <f t="array" ref="I27">_xlfn.IFS(B27&gt;8000, "Xuất sắc", B27&gt;=5000, "Đạt", B27&lt;5000, "Cần cải thiện")</f>
        <v>Xuất sắc</v>
      </c>
      <c r="J27" t="str">
        <f t="shared" si="1"/>
        <v>Dang Thi F thuộc bộ phận Marketing</v>
      </c>
      <c r="K27">
        <f t="shared" si="2"/>
        <v>8</v>
      </c>
      <c r="L27" t="str">
        <f t="shared" si="3"/>
        <v>June</v>
      </c>
      <c r="M27">
        <f>VLOOKUP(A27, 'Bang luong tra cuu'!$A$2:$B$5, 2, FALSE)</f>
        <v>5500</v>
      </c>
      <c r="N27" cm="1">
        <f t="array" ref="N27">M27+B27*_xlfn.IFS(I27="Xuất sắc",20%, I27="Đạt",10%, I27="Cần cải thiện", 5%)</f>
        <v>7132.4</v>
      </c>
    </row>
    <row r="28" spans="1:14" x14ac:dyDescent="0.3">
      <c r="A28" t="s">
        <v>2</v>
      </c>
      <c r="B28">
        <v>6153</v>
      </c>
      <c r="C28" t="s">
        <v>6</v>
      </c>
      <c r="D28" t="s">
        <v>14</v>
      </c>
      <c r="E28" t="str">
        <f t="shared" si="0"/>
        <v>Do Thi H</v>
      </c>
      <c r="F28" t="str">
        <f>LEFT(D28,1) &amp; MID(D28,FIND(" ",D28)+1, 1) &amp; RIGHT(D28, 1) &amp; "_" &amp; UPPER(LEFT(A28,3)) &amp; "_" &amp; COUNTIFS(D$2:D28,D28,A$2:A28,A28)</f>
        <v>DTH_SAL_1</v>
      </c>
      <c r="G28" s="2">
        <v>45446</v>
      </c>
      <c r="H28" s="2">
        <v>45448</v>
      </c>
      <c r="I28" t="str" cm="1">
        <f t="array" ref="I28">_xlfn.IFS(B28&gt;8000, "Xuất sắc", B28&gt;=5000, "Đạt", B28&lt;5000, "Cần cải thiện")</f>
        <v>Đạt</v>
      </c>
      <c r="J28" t="str">
        <f t="shared" si="1"/>
        <v>Do Thi H thuộc bộ phận Sales</v>
      </c>
      <c r="K28">
        <f t="shared" si="2"/>
        <v>2</v>
      </c>
      <c r="L28" t="str">
        <f t="shared" si="3"/>
        <v>June</v>
      </c>
      <c r="M28">
        <f>VLOOKUP(A28, 'Bang luong tra cuu'!$A$2:$B$5, 2, FALSE)</f>
        <v>6000</v>
      </c>
      <c r="N28" cm="1">
        <f t="array" ref="N28">M28+B28*_xlfn.IFS(I28="Xuất sắc",20%, I28="Đạt",10%, I28="Cần cải thiện", 5%)</f>
        <v>6615.3</v>
      </c>
    </row>
    <row r="29" spans="1:14" x14ac:dyDescent="0.3">
      <c r="A29" t="s">
        <v>3</v>
      </c>
      <c r="B29">
        <v>2077</v>
      </c>
      <c r="C29" t="s">
        <v>6</v>
      </c>
      <c r="D29" t="s">
        <v>15</v>
      </c>
      <c r="E29" t="str">
        <f t="shared" si="0"/>
        <v>Le Van C</v>
      </c>
      <c r="F29" t="str">
        <f>LEFT(D29,1) &amp; MID(D29,FIND(" ",D29)+1, 1) &amp; RIGHT(D29, 1) &amp; "_" &amp; UPPER(LEFT(A29,3)) &amp; "_" &amp; COUNTIFS(D$2:D29,D29,A$2:A29,A29)</f>
        <v>LVC_HR_1</v>
      </c>
      <c r="G29" s="2">
        <v>45452</v>
      </c>
      <c r="H29" s="2">
        <v>45456</v>
      </c>
      <c r="I29" t="str" cm="1">
        <f t="array" ref="I29">_xlfn.IFS(B29&gt;8000, "Xuất sắc", B29&gt;=5000, "Đạt", B29&lt;5000, "Cần cải thiện")</f>
        <v>Cần cải thiện</v>
      </c>
      <c r="J29" t="str">
        <f t="shared" si="1"/>
        <v>Le Van C thuộc bộ phận HR</v>
      </c>
      <c r="K29">
        <f t="shared" si="2"/>
        <v>4</v>
      </c>
      <c r="L29" t="str">
        <f t="shared" si="3"/>
        <v>June</v>
      </c>
      <c r="M29">
        <f>VLOOKUP(A29, 'Bang luong tra cuu'!$A$2:$B$5, 2, FALSE)</f>
        <v>4000</v>
      </c>
      <c r="N29" cm="1">
        <f t="array" ref="N29">M29+B29*_xlfn.IFS(I29="Xuất sắc",20%, I29="Đạt",10%, I29="Cần cải thiện", 5%)</f>
        <v>4103.8500000000004</v>
      </c>
    </row>
    <row r="30" spans="1:14" x14ac:dyDescent="0.3">
      <c r="A30" t="s">
        <v>5</v>
      </c>
      <c r="B30">
        <v>2081</v>
      </c>
      <c r="C30" t="s">
        <v>6</v>
      </c>
      <c r="D30" t="s">
        <v>16</v>
      </c>
      <c r="E30" t="str">
        <f t="shared" si="0"/>
        <v>Tran Thi B</v>
      </c>
      <c r="F30" t="str">
        <f>LEFT(D30,1) &amp; MID(D30,FIND(" ",D30)+1, 1) &amp; RIGHT(D30, 1) &amp; "_" &amp; UPPER(LEFT(A30,3)) &amp; "_" &amp; COUNTIFS(D$2:D30,D30,A$2:A30,A30)</f>
        <v>TTB_MAR_1</v>
      </c>
      <c r="G30" s="2">
        <v>45462</v>
      </c>
      <c r="H30" s="2">
        <v>45464</v>
      </c>
      <c r="I30" t="str" cm="1">
        <f t="array" ref="I30">_xlfn.IFS(B30&gt;8000, "Xuất sắc", B30&gt;=5000, "Đạt", B30&lt;5000, "Cần cải thiện")</f>
        <v>Cần cải thiện</v>
      </c>
      <c r="J30" t="str">
        <f t="shared" si="1"/>
        <v>Tran Thi B thuộc bộ phận Marketing</v>
      </c>
      <c r="K30">
        <f t="shared" si="2"/>
        <v>2</v>
      </c>
      <c r="L30" t="str">
        <f t="shared" si="3"/>
        <v>June</v>
      </c>
      <c r="M30">
        <f>VLOOKUP(A30, 'Bang luong tra cuu'!$A$2:$B$5, 2, FALSE)</f>
        <v>5500</v>
      </c>
      <c r="N30" cm="1">
        <f t="array" ref="N30">M30+B30*_xlfn.IFS(I30="Xuất sắc",20%, I30="Đạt",10%, I30="Cần cải thiện", 5%)</f>
        <v>5604.05</v>
      </c>
    </row>
    <row r="31" spans="1:14" x14ac:dyDescent="0.3">
      <c r="A31" t="s">
        <v>5</v>
      </c>
      <c r="B31">
        <v>5102</v>
      </c>
      <c r="C31" t="s">
        <v>7</v>
      </c>
      <c r="D31" t="s">
        <v>9</v>
      </c>
      <c r="E31" t="str">
        <f t="shared" si="0"/>
        <v>Dang Thi F</v>
      </c>
      <c r="F31" t="str">
        <f>LEFT(D31,1) &amp; MID(D31,FIND(" ",D31)+1, 1) &amp; RIGHT(D31, 1) &amp; "_" &amp; UPPER(LEFT(A31,3)) &amp; "_" &amp; COUNTIFS(D$2:D31,D31,A$2:A31,A31)</f>
        <v>DTF_MAR_2</v>
      </c>
      <c r="G31" s="2">
        <v>45450</v>
      </c>
      <c r="H31" s="2">
        <v>45485</v>
      </c>
      <c r="I31" t="str" cm="1">
        <f t="array" ref="I31">_xlfn.IFS(B31&gt;8000, "Xuất sắc", B31&gt;=5000, "Đạt", B31&lt;5000, "Cần cải thiện")</f>
        <v>Đạt</v>
      </c>
      <c r="J31" t="str">
        <f t="shared" si="1"/>
        <v>Dang Thi F thuộc bộ phận Marketing</v>
      </c>
      <c r="K31">
        <f t="shared" si="2"/>
        <v>35</v>
      </c>
      <c r="L31" t="str">
        <f t="shared" si="3"/>
        <v>July</v>
      </c>
      <c r="M31">
        <f>VLOOKUP(A31, 'Bang luong tra cuu'!$A$2:$B$5, 2, FALSE)</f>
        <v>5500</v>
      </c>
      <c r="N31" cm="1">
        <f t="array" ref="N31">M31+B31*_xlfn.IFS(I31="Xuất sắc",20%, I31="Đạt",10%, I31="Cần cải thiện", 5%)</f>
        <v>6010.2</v>
      </c>
    </row>
  </sheetData>
  <conditionalFormatting sqref="I2:I31">
    <cfRule type="cellIs" dxfId="5" priority="1" operator="equal">
      <formula>"Cần cải thiện"</formula>
    </cfRule>
    <cfRule type="cellIs" dxfId="4" priority="2" operator="equal">
      <formula>"Đạt"</formula>
    </cfRule>
    <cfRule type="cellIs" dxfId="3" priority="3" operator="equal">
      <formula>"Xuất sắc"</formula>
    </cfRule>
    <cfRule type="cellIs" dxfId="2" priority="4" operator="equal">
      <formula>"""Cần cải thiện"""</formula>
    </cfRule>
    <cfRule type="cellIs" dxfId="1" priority="5" operator="equal">
      <formula>"""Đạt"""</formula>
    </cfRule>
    <cfRule type="cellIs" dxfId="0" priority="6" operator="equal">
      <formula>"""Xuất sắc"""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18</v>
      </c>
    </row>
    <row r="2" spans="1:2" x14ac:dyDescent="0.3">
      <c r="A2" t="s">
        <v>2</v>
      </c>
      <c r="B2">
        <v>6000</v>
      </c>
    </row>
    <row r="3" spans="1:2" x14ac:dyDescent="0.3">
      <c r="A3" t="s">
        <v>3</v>
      </c>
      <c r="B3">
        <v>4000</v>
      </c>
    </row>
    <row r="4" spans="1:2" x14ac:dyDescent="0.3">
      <c r="A4" t="s">
        <v>5</v>
      </c>
      <c r="B4">
        <v>5500</v>
      </c>
    </row>
    <row r="5" spans="1:2" x14ac:dyDescent="0.3">
      <c r="A5" t="s">
        <v>4</v>
      </c>
      <c r="B5">
        <v>6500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7EAE3-3E95-4993-B4CF-CDF50EEF508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f7972f0-e6b1-4e81-bd6d-6d5a7ea56092"/>
    <ds:schemaRef ds:uri="520977d3-e5b6-4195-9522-2071cc7a7d6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1535DD-B479-470F-8D9A-8FB80DD086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36083-21D0-423B-9EBE-440F43C4F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 tap chinh</vt:lpstr>
      <vt:lpstr>Bang luong tra cuu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dcterms:created xsi:type="dcterms:W3CDTF">2025-07-03T01:49:44Z</dcterms:created>
  <dcterms:modified xsi:type="dcterms:W3CDTF">2025-07-04T14:46:22Z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</Properties>
</file>