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0" documentId="8_{BD12F63B-54D8-4616-BF77-7F50D75F2B06}" xr6:coauthVersionLast="47" xr6:coauthVersionMax="47" xr10:uidLastSave="{00000000-0000-0000-0000-000000000000}"/>
  <bookViews>
    <workbookView xWindow="-108" yWindow="-108" windowWidth="23256" windowHeight="12456" xr2:uid="{B653257C-2690-4B6F-AF51-C145C2D6B17F}"/>
  </bookViews>
  <sheets>
    <sheet name="Jan-De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1" i="1" l="1"/>
  <c r="P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4" i="1"/>
  <c r="L200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4" i="1"/>
  <c r="K5" i="1"/>
  <c r="K6" i="1"/>
  <c r="K7" i="1"/>
  <c r="K8" i="1"/>
  <c r="K201" i="1" s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4" i="1"/>
  <c r="H201" i="1" l="1"/>
  <c r="I201" i="1"/>
  <c r="M201" i="1"/>
  <c r="P2" i="1" s="1"/>
  <c r="L201" i="1" l="1"/>
  <c r="J201" i="1"/>
</calcChain>
</file>

<file path=xl/sharedStrings.xml><?xml version="1.0" encoding="utf-8"?>
<sst xmlns="http://schemas.openxmlformats.org/spreadsheetml/2006/main" count="804" uniqueCount="247">
  <si>
    <t>Product</t>
  </si>
  <si>
    <t>Color</t>
  </si>
  <si>
    <t>Category</t>
  </si>
  <si>
    <t>Subcategory</t>
  </si>
  <si>
    <t>Wholesale Cost</t>
  </si>
  <si>
    <t>Purchase Cost</t>
  </si>
  <si>
    <t xml:space="preserve">Shipping Costs </t>
  </si>
  <si>
    <t>Total Costs</t>
  </si>
  <si>
    <t>Retail Price (per unit)</t>
  </si>
  <si>
    <t>Items Sold</t>
  </si>
  <si>
    <t>Revenue</t>
  </si>
  <si>
    <t>Profit</t>
  </si>
  <si>
    <t>Shipping Rate (per item)</t>
  </si>
  <si>
    <t>HL Road Frame - Black, 58</t>
  </si>
  <si>
    <t>Black</t>
  </si>
  <si>
    <t>Components</t>
  </si>
  <si>
    <t>Road Frames</t>
  </si>
  <si>
    <t>Sport-100 Helmet, Black</t>
  </si>
  <si>
    <t>Accessories</t>
  </si>
  <si>
    <t>Helmets</t>
  </si>
  <si>
    <t>LL Road Frame - Black, 58</t>
  </si>
  <si>
    <t>HL Mountain Frame - Black, 42</t>
  </si>
  <si>
    <t>Mountain Frames</t>
  </si>
  <si>
    <t>Road-650 Black, 58</t>
  </si>
  <si>
    <t>Bikes</t>
  </si>
  <si>
    <t>Road Bikes</t>
  </si>
  <si>
    <t>Road-650 Black, 60</t>
  </si>
  <si>
    <t>Mountain-100 Black, 38</t>
  </si>
  <si>
    <t>Mountain Bikes</t>
  </si>
  <si>
    <t>Mountain-100 Black, 42</t>
  </si>
  <si>
    <t>Mountain-100 Black, 44</t>
  </si>
  <si>
    <t>Mountain-100 Black, 48</t>
  </si>
  <si>
    <t>Mountain-200 Black, 38</t>
  </si>
  <si>
    <t>Road-250 Black, 44</t>
  </si>
  <si>
    <t>Road-250 Black, 48</t>
  </si>
  <si>
    <t>ML Mountain Frame - Black, 38</t>
  </si>
  <si>
    <t>LL Mountain Front Wheel</t>
  </si>
  <si>
    <t>Wheels</t>
  </si>
  <si>
    <t>ML Mountain Front Wheel</t>
  </si>
  <si>
    <t>HL Mountain Front Wheel</t>
  </si>
  <si>
    <t>LL Mountain Rear Wheel</t>
  </si>
  <si>
    <t>ML Mountain Rear Wheel</t>
  </si>
  <si>
    <t>HL Mountain Rear Wheel</t>
  </si>
  <si>
    <t>LL Road Rear Wheel</t>
  </si>
  <si>
    <t>ML Mountain Frame - Black, 40</t>
  </si>
  <si>
    <t>ML Mountain Frame - Black, 44</t>
  </si>
  <si>
    <t>ML Mountain Frame - Black,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</si>
  <si>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</si>
  <si>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</si>
  <si>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</si>
  <si>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</si>
  <si>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</si>
  <si>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Clothing</t>
  </si>
  <si>
    <t>Shorts</t>
  </si>
  <si>
    <t>Men's Sports Shorts, M</t>
  </si>
  <si>
    <t>Men's Sports Shorts, L</t>
  </si>
  <si>
    <t>Men's Sports Shorts, XL</t>
  </si>
  <si>
    <t>Women's Tights, S</t>
  </si>
  <si>
    <t>Tights</t>
  </si>
  <si>
    <t>Women's Tights, M</t>
  </si>
  <si>
    <t>Women's Tights, L</t>
  </si>
  <si>
    <t>Half-Finger Gloves, S</t>
  </si>
  <si>
    <t>Gloves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</si>
  <si>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</si>
  <si>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</si>
  <si>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</si>
  <si>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</si>
  <si>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</si>
  <si>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</si>
  <si>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</si>
  <si>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</si>
  <si>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LL Crankset</t>
  </si>
  <si>
    <t>Cranksets</t>
  </si>
  <si>
    <t>ML Crankset</t>
  </si>
  <si>
    <t>HL Crankset</t>
  </si>
  <si>
    <t>Road-750 Black, 58</t>
  </si>
  <si>
    <t>Mountain-500 Black, 40</t>
  </si>
  <si>
    <t>Road-750 Black, 44</t>
  </si>
  <si>
    <t>Road-750 Black, 48</t>
  </si>
  <si>
    <t>Road-750 Black, 52</t>
  </si>
  <si>
    <t>HL Road Frame - Red, 58</t>
  </si>
  <si>
    <t>Red</t>
  </si>
  <si>
    <t>Sport-100 Helmet, Red</t>
  </si>
  <si>
    <t>Sport-100 Helmet, Blue</t>
  </si>
  <si>
    <t>Blue</t>
  </si>
  <si>
    <t>Mountain Bike Socks, M</t>
  </si>
  <si>
    <t>White</t>
  </si>
  <si>
    <t>Socks</t>
  </si>
  <si>
    <t>Mountain Bike Socks, L</t>
  </si>
  <si>
    <t>AWC Logo Cap</t>
  </si>
  <si>
    <t>Multi</t>
  </si>
  <si>
    <t>Caps</t>
  </si>
  <si>
    <t>Long-Sleeve Logo Jersey, S</t>
  </si>
  <si>
    <t>Jerseys</t>
  </si>
  <si>
    <t>Long-Sleeve Logo Jersey, M</t>
  </si>
  <si>
    <t>Long-Sleeve Logo Jersey, L</t>
  </si>
  <si>
    <t>Long-Sleeve Logo Jersey, XL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</si>
  <si>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</si>
  <si>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</si>
  <si>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</si>
  <si>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</si>
  <si>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</si>
  <si>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Silver, 38</t>
  </si>
  <si>
    <t>Road-150 Red, 62</t>
  </si>
  <si>
    <t>Road-150 Red, 44</t>
  </si>
  <si>
    <t>Road-150 Red, 48</t>
  </si>
  <si>
    <t>Mountain-100 Silver, 38</t>
  </si>
  <si>
    <t>Mountain-100 Silver, 42</t>
  </si>
  <si>
    <t>Mountain-100 Silver, 44</t>
  </si>
  <si>
    <t>Road-250 Red, 44</t>
  </si>
  <si>
    <t>Road-250 Red, 48</t>
  </si>
  <si>
    <t>Road-250 Red, 52</t>
  </si>
  <si>
    <t>Road-550-W Yellow, 38</t>
  </si>
  <si>
    <t>Yellow</t>
  </si>
  <si>
    <t>Road-550-W Yellow, 40</t>
  </si>
  <si>
    <t>Road-550-W Yellow, 42</t>
  </si>
  <si>
    <t>LL Fork</t>
  </si>
  <si>
    <t>NA</t>
  </si>
  <si>
    <t>Forks</t>
  </si>
  <si>
    <t>ML Fork</t>
  </si>
  <si>
    <t>HL Fork</t>
  </si>
  <si>
    <t>LL Headset</t>
  </si>
  <si>
    <t>Headsets</t>
  </si>
  <si>
    <t>ML Headset</t>
  </si>
  <si>
    <t>HL Headset</t>
  </si>
  <si>
    <t>LL Mountain Handlebars</t>
  </si>
  <si>
    <t>Handlebars</t>
  </si>
  <si>
    <t>HL Mountain Handlebars</t>
  </si>
  <si>
    <t>LL Road Handlebars</t>
  </si>
  <si>
    <t>ML Road Frame-W - Yellow, 38</t>
  </si>
  <si>
    <t>ML Road Frame-W - Yellow, 40</t>
  </si>
  <si>
    <t>Touring-Panniers, Large</t>
  </si>
  <si>
    <t>Grey</t>
  </si>
  <si>
    <t>Panniers</t>
  </si>
  <si>
    <t>Cable Lock</t>
  </si>
  <si>
    <t>Locks</t>
  </si>
  <si>
    <t>Minipump</t>
  </si>
  <si>
    <t>Pumps</t>
  </si>
  <si>
    <t>Mountain Pump</t>
  </si>
  <si>
    <t>Taillights - Battery-Powered</t>
  </si>
  <si>
    <t>Lights</t>
  </si>
  <si>
    <t>Headlights - Dual-Beam</t>
  </si>
  <si>
    <t>Headlights - Weatherproof</t>
  </si>
  <si>
    <t>Men's Bib-Shorts, S</t>
  </si>
  <si>
    <t>Bib-Shorts</t>
  </si>
  <si>
    <t>Men's Bib-Shorts, M</t>
  </si>
  <si>
    <t>Men's Bib-Shorts, L</t>
  </si>
  <si>
    <t>Classic Vest, S</t>
  </si>
  <si>
    <t>Vests</t>
  </si>
  <si>
    <t>Classic Vest, M</t>
  </si>
  <si>
    <t>Classic Vest, L</t>
  </si>
  <si>
    <t>Water Bottle - 30 oz.</t>
  </si>
  <si>
    <t>Bottles and Cages</t>
  </si>
  <si>
    <t>Mountain Bottle Cage</t>
  </si>
  <si>
    <t>Road Bottle Cage</t>
  </si>
  <si>
    <t>Patch Kit/8 Patches</t>
  </si>
  <si>
    <t>Tires and Tubes</t>
  </si>
  <si>
    <t>Racing Socks, M</t>
  </si>
  <si>
    <t>Racing Socks, L</t>
  </si>
  <si>
    <t>Hitch Rack - 4-Bike</t>
  </si>
  <si>
    <t>Bike Racks</t>
  </si>
  <si>
    <t>Bike Wash - Dissolver</t>
  </si>
  <si>
    <t>Cleaners</t>
  </si>
  <si>
    <t>Fender Set - Mountain</t>
  </si>
  <si>
    <t>Fenders</t>
  </si>
  <si>
    <t>All-Purpose Bike Stand</t>
  </si>
  <si>
    <t>Bike Stands</t>
  </si>
  <si>
    <t>Hydration Pack - 70 oz.</t>
  </si>
  <si>
    <t>Hydration Packs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</si>
  <si>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</si>
  <si>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</si>
  <si>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</si>
  <si>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</si>
  <si>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</si>
  <si>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Touring Frames</t>
  </si>
  <si>
    <t>LL Touring Frame - Yellow, 62</t>
  </si>
  <si>
    <t>HL Touring Frame - Yellow, 46</t>
  </si>
  <si>
    <t>HL Touring Frame - Yellow, 50</t>
  </si>
  <si>
    <t>HL Touring Frame - Yellow, 54</t>
  </si>
  <si>
    <t>Rear Derailleur</t>
  </si>
  <si>
    <t>Derailleurs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</si>
  <si>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</si>
  <si>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</si>
  <si>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</si>
  <si>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</si>
  <si>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</si>
  <si>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Brakes</t>
  </si>
  <si>
    <t>LL Mountain Seat/Saddle</t>
  </si>
  <si>
    <t>Saddles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</si>
  <si>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</si>
  <si>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</si>
  <si>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</si>
  <si>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</si>
  <si>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</si>
  <si>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</si>
  <si>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</si>
  <si>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</si>
  <si>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</si>
  <si>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</si>
  <si>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</si>
  <si>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</si>
  <si>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</si>
  <si>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</si>
  <si>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</si>
  <si>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</si>
  <si>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</si>
  <si>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</si>
  <si>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</si>
  <si>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</si>
  <si>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</si>
  <si>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</si>
  <si>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</si>
  <si>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</si>
  <si>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Pedals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</si>
  <si>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</si>
  <si>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</si>
  <si>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</si>
  <si>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</si>
  <si>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</si>
  <si>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</si>
  <si>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</si>
  <si>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</si>
  <si>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</si>
  <si>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</si>
  <si>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</si>
  <si>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</si>
  <si>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</si>
  <si>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Chains</t>
  </si>
  <si>
    <t>Touring-2000 Blue, 60</t>
  </si>
  <si>
    <t>Touring Bikes</t>
  </si>
  <si>
    <t>Touring-1000 Yellow, 46</t>
  </si>
  <si>
    <t>Touring-1000 Yellow, 50</t>
  </si>
  <si>
    <t>Touring-1000 Yellow, 54</t>
  </si>
  <si>
    <t>Touring-1000 Yellow, 60</t>
  </si>
  <si>
    <t>Touring-3000 Yellow, 44</t>
  </si>
  <si>
    <t>Touring-3000 Yellow, 50</t>
  </si>
  <si>
    <t>Touring-3000 Yellow, 54</t>
  </si>
  <si>
    <t>Mountain-400-W Silver, 38</t>
  </si>
  <si>
    <t>Mountain-400-W Silver, 40</t>
  </si>
  <si>
    <t>Mountain-400-W Silver, 42</t>
  </si>
  <si>
    <t>Mountain-400-W Silver, 46</t>
  </si>
  <si>
    <t>LL Bottom Bracket</t>
  </si>
  <si>
    <t>Bottom Brackets</t>
  </si>
  <si>
    <t>ML Bottom Bracket</t>
  </si>
  <si>
    <t>HL Bottom Bracket</t>
  </si>
  <si>
    <t>Items Purchased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</si>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</sst>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409]* #,##0.00_ ;_-[$$-409]* \-#,##0.00\ ;_-[$$-409]* &quot;-&quot;??_ ;_-@_ 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0" fontId="0" fillId="0" borderId="0" xfId="0" applyNumberFormat="1"/>
    <xf numFmtId="164" fontId="0" fillId="0" borderId="2" xfId="0" applyNumberFormat="1" applyBorder="1"/>
    <xf numFmtId="43" fontId="0" fillId="0" borderId="0" xfId="1" applyFont="1"/>
    <xf numFmtId="164" fontId="0" fillId="0" borderId="0" xfId="1" applyNumberFormat="1" applyFont="1" applyFill="1"/>
    <xf numFmtId="43" fontId="0" fillId="0" borderId="2" xfId="1" applyFont="1" applyBorder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2336-24AE-49A3-94E1-A2A75844FF21}">
  <dimension ref="A1:Q202"/>
  <sheetViews>
    <sheetView tabSelected="1" zoomScale="89" zoomScaleNormal="89" workbookViewId="0">
      <pane ySplit="3" topLeftCell="A7" activePane="bottomLeft" state="frozen"/>
      <selection pane="bottomLeft" activeCell="K208" sqref="K208"/>
    </sheetView>
  </sheetViews>
  <sheetFormatPr defaultRowHeight="14.4" x14ac:dyDescent="0.3"/>
  <cols>
    <col min="1" max="1" width="31.44140625" bestFit="1" customWidth="1"/>
    <col min="2" max="2" width="11.44140625" bestFit="1" customWidth="1"/>
    <col min="3" max="3" width="12.33203125" bestFit="1" customWidth="1"/>
    <col min="4" max="4" width="16.6640625" bestFit="1" customWidth="1"/>
    <col min="5" max="5" width="13.33203125" customWidth="1"/>
    <col min="6" max="6" width="14" customWidth="1"/>
    <col min="7" max="7" width="18.109375" customWidth="1"/>
    <col min="8" max="8" width="16.33203125" customWidth="1"/>
    <col min="9" max="9" width="19.5546875" customWidth="1"/>
    <col min="10" max="10" width="13.44140625" customWidth="1"/>
    <col min="11" max="11" width="14" bestFit="1" customWidth="1"/>
    <col min="12" max="12" width="17" customWidth="1"/>
    <col min="13" max="13" width="16.44140625" customWidth="1"/>
    <col min="15" max="15" width="23" bestFit="1" customWidth="1"/>
    <col min="16" max="16" width="16.88671875" bestFit="1" customWidth="1"/>
  </cols>
  <sheetData>
    <row r="1" spans="1:16" ht="1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11" t="s">
        <v>4</v>
      </c>
      <c r="F1" s="11" t="s">
        <v>245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O1" t="s">
        <v>12</v>
      </c>
      <c r="P1" s="1">
        <v>5</v>
      </c>
    </row>
    <row r="2" spans="1:16" ht="15" customHeight="1" x14ac:dyDescent="0.3">
      <c r="A2" s="9"/>
      <c r="B2" s="9"/>
      <c r="C2" s="9"/>
      <c r="D2" s="9"/>
      <c r="E2" s="11"/>
      <c r="F2" s="11"/>
      <c r="G2" s="11"/>
      <c r="H2" s="11"/>
      <c r="I2" s="11"/>
      <c r="J2" s="11"/>
      <c r="K2" s="11"/>
      <c r="L2" s="11"/>
      <c r="M2" s="11"/>
      <c r="O2" t="s">
        <v>11</v>
      </c>
      <c r="P2" s="1">
        <f>M201</f>
        <v>35423232.79906252</v>
      </c>
    </row>
    <row r="3" spans="1:16" ht="15.75" customHeight="1" thickBot="1" x14ac:dyDescent="0.35">
      <c r="A3" s="10"/>
      <c r="B3" s="10"/>
      <c r="C3" s="10"/>
      <c r="D3" s="10"/>
      <c r="E3" s="12"/>
      <c r="F3" s="12"/>
      <c r="G3" s="12"/>
      <c r="H3" s="12"/>
      <c r="I3" s="12"/>
      <c r="J3" s="12"/>
      <c r="K3" s="12"/>
      <c r="L3" s="12"/>
      <c r="M3" s="12"/>
      <c r="O3" t="s">
        <v>246</v>
      </c>
      <c r="P3" s="4">
        <f>(L201-I201)/L201</f>
        <v>0.33333333333333331</v>
      </c>
    </row>
    <row r="4" spans="1:16" x14ac:dyDescent="0.3">
      <c r="A4" t="s">
        <v>13</v>
      </c>
      <c r="B4" t="s">
        <v>14</v>
      </c>
      <c r="C4" t="s">
        <v>15</v>
      </c>
      <c r="D4" t="s">
        <v>16</v>
      </c>
      <c r="E4" s="1">
        <v>217.1575</v>
      </c>
      <c r="F4" s="2">
        <v>4652</v>
      </c>
      <c r="G4" s="7">
        <f>E4*F4</f>
        <v>1010216.69</v>
      </c>
      <c r="H4" s="7">
        <f>E4*$P$1</f>
        <v>1085.7874999999999</v>
      </c>
      <c r="I4" s="7">
        <f>G4+H4</f>
        <v>1011302.4774999999</v>
      </c>
      <c r="J4" s="7">
        <f>E4+(H4/F4)+(E4+(H4/F4))*0.5</f>
        <v>326.08635345012897</v>
      </c>
      <c r="K4" s="3">
        <f>F4</f>
        <v>4652</v>
      </c>
      <c r="L4" s="1">
        <f>K4*J4</f>
        <v>1516953.7162500001</v>
      </c>
      <c r="M4" s="7">
        <f>L4-I4</f>
        <v>505651.23875000014</v>
      </c>
    </row>
    <row r="5" spans="1:16" x14ac:dyDescent="0.3">
      <c r="A5" t="s">
        <v>17</v>
      </c>
      <c r="B5" t="s">
        <v>14</v>
      </c>
      <c r="C5" t="s">
        <v>18</v>
      </c>
      <c r="D5" t="s">
        <v>19</v>
      </c>
      <c r="E5" s="1">
        <v>3.0074999999999998</v>
      </c>
      <c r="F5" s="2">
        <v>3952.25</v>
      </c>
      <c r="G5" s="7">
        <f t="shared" ref="G5:G68" si="0">E5*F5</f>
        <v>11886.391874999999</v>
      </c>
      <c r="H5" s="7">
        <f t="shared" ref="H5:H68" si="1">E5*$P$1</f>
        <v>15.0375</v>
      </c>
      <c r="I5" s="7">
        <f t="shared" ref="I5:I68" si="2">G5+H5</f>
        <v>11901.429375</v>
      </c>
      <c r="J5" s="7">
        <f t="shared" ref="J5:J68" si="3">E5+(H5/F5)+(E5+(H5/F5))*0.5</f>
        <v>4.5169571921057621</v>
      </c>
      <c r="K5" s="3">
        <f t="shared" ref="K5:K68" si="4">F5</f>
        <v>3952.25</v>
      </c>
      <c r="L5" s="1">
        <f t="shared" ref="L5:L68" si="5">K5*J5</f>
        <v>17852.1440625</v>
      </c>
      <c r="M5" s="7">
        <f t="shared" ref="M5:M68" si="6">L5-I5</f>
        <v>5950.7146874999999</v>
      </c>
    </row>
    <row r="6" spans="1:16" x14ac:dyDescent="0.3">
      <c r="A6" t="s">
        <v>17</v>
      </c>
      <c r="B6" t="s">
        <v>14</v>
      </c>
      <c r="C6" t="s">
        <v>18</v>
      </c>
      <c r="D6" t="s">
        <v>19</v>
      </c>
      <c r="E6" s="1">
        <v>3.47</v>
      </c>
      <c r="F6" s="2">
        <v>4580.5</v>
      </c>
      <c r="G6" s="7">
        <f t="shared" si="0"/>
        <v>15894.335000000001</v>
      </c>
      <c r="H6" s="7">
        <f t="shared" si="1"/>
        <v>17.350000000000001</v>
      </c>
      <c r="I6" s="7">
        <f t="shared" si="2"/>
        <v>15911.685000000001</v>
      </c>
      <c r="J6" s="7">
        <f t="shared" si="3"/>
        <v>5.210681694138195</v>
      </c>
      <c r="K6" s="3">
        <f t="shared" si="4"/>
        <v>4580.5</v>
      </c>
      <c r="L6" s="1">
        <f t="shared" si="5"/>
        <v>23867.527500000004</v>
      </c>
      <c r="M6" s="7">
        <f t="shared" si="6"/>
        <v>7955.8425000000025</v>
      </c>
    </row>
    <row r="7" spans="1:16" x14ac:dyDescent="0.3">
      <c r="A7" t="s">
        <v>17</v>
      </c>
      <c r="B7" t="s">
        <v>14</v>
      </c>
      <c r="C7" t="s">
        <v>18</v>
      </c>
      <c r="D7" t="s">
        <v>19</v>
      </c>
      <c r="E7" s="1">
        <v>3.2725</v>
      </c>
      <c r="F7" s="2">
        <v>4455.25</v>
      </c>
      <c r="G7" s="7">
        <f t="shared" si="0"/>
        <v>14579.805624999999</v>
      </c>
      <c r="H7" s="7">
        <f t="shared" si="1"/>
        <v>16.362500000000001</v>
      </c>
      <c r="I7" s="7">
        <f t="shared" si="2"/>
        <v>14596.168124999998</v>
      </c>
      <c r="J7" s="7">
        <f t="shared" si="3"/>
        <v>4.9142589501150322</v>
      </c>
      <c r="K7" s="3">
        <f t="shared" si="4"/>
        <v>4455.25</v>
      </c>
      <c r="L7" s="1">
        <f t="shared" si="5"/>
        <v>21894.252187499998</v>
      </c>
      <c r="M7" s="7">
        <f t="shared" si="6"/>
        <v>7298.0840625000001</v>
      </c>
    </row>
    <row r="8" spans="1:16" x14ac:dyDescent="0.3">
      <c r="A8" t="s">
        <v>20</v>
      </c>
      <c r="B8" t="s">
        <v>14</v>
      </c>
      <c r="C8" t="s">
        <v>15</v>
      </c>
      <c r="D8" t="s">
        <v>16</v>
      </c>
      <c r="E8" s="1">
        <v>44.05</v>
      </c>
      <c r="F8" s="2">
        <v>4523.75</v>
      </c>
      <c r="G8" s="7">
        <f t="shared" si="0"/>
        <v>199271.1875</v>
      </c>
      <c r="H8" s="7">
        <f t="shared" si="1"/>
        <v>220.25</v>
      </c>
      <c r="I8" s="7">
        <f t="shared" si="2"/>
        <v>199491.4375</v>
      </c>
      <c r="J8" s="7">
        <f t="shared" si="3"/>
        <v>66.14803122409505</v>
      </c>
      <c r="K8" s="3">
        <f t="shared" si="4"/>
        <v>4523.75</v>
      </c>
      <c r="L8" s="1">
        <f t="shared" si="5"/>
        <v>299237.15625</v>
      </c>
      <c r="M8" s="7">
        <f t="shared" si="6"/>
        <v>99745.71875</v>
      </c>
    </row>
    <row r="9" spans="1:16" x14ac:dyDescent="0.3">
      <c r="A9" t="s">
        <v>20</v>
      </c>
      <c r="B9" t="s">
        <v>14</v>
      </c>
      <c r="C9" t="s">
        <v>15</v>
      </c>
      <c r="D9" t="s">
        <v>16</v>
      </c>
      <c r="E9" s="1">
        <v>42.534999999999997</v>
      </c>
      <c r="F9" s="2">
        <v>3921</v>
      </c>
      <c r="G9" s="7">
        <f t="shared" si="0"/>
        <v>166779.73499999999</v>
      </c>
      <c r="H9" s="7">
        <f t="shared" si="1"/>
        <v>212.67499999999998</v>
      </c>
      <c r="I9" s="7">
        <f t="shared" si="2"/>
        <v>166992.40999999997</v>
      </c>
      <c r="J9" s="7">
        <f t="shared" si="3"/>
        <v>63.883859984697771</v>
      </c>
      <c r="K9" s="3">
        <f t="shared" si="4"/>
        <v>3921</v>
      </c>
      <c r="L9" s="1">
        <f t="shared" si="5"/>
        <v>250488.61499999996</v>
      </c>
      <c r="M9" s="7">
        <f t="shared" si="6"/>
        <v>83496.204999999987</v>
      </c>
      <c r="N9" s="4"/>
    </row>
    <row r="10" spans="1:16" x14ac:dyDescent="0.3">
      <c r="A10" t="s">
        <v>20</v>
      </c>
      <c r="B10" t="s">
        <v>14</v>
      </c>
      <c r="C10" t="s">
        <v>15</v>
      </c>
      <c r="D10" t="s">
        <v>16</v>
      </c>
      <c r="E10" s="1">
        <v>51.157499999999999</v>
      </c>
      <c r="F10" s="2">
        <v>4975.25</v>
      </c>
      <c r="G10" s="7">
        <f t="shared" si="0"/>
        <v>254521.35187499999</v>
      </c>
      <c r="H10" s="7">
        <f t="shared" si="1"/>
        <v>255.78749999999999</v>
      </c>
      <c r="I10" s="7">
        <f t="shared" si="2"/>
        <v>254777.139375</v>
      </c>
      <c r="J10" s="7">
        <f t="shared" si="3"/>
        <v>76.813367984020914</v>
      </c>
      <c r="K10" s="3">
        <f t="shared" si="4"/>
        <v>4975.25</v>
      </c>
      <c r="L10" s="1">
        <f t="shared" si="5"/>
        <v>382165.70906250004</v>
      </c>
      <c r="M10" s="7">
        <f t="shared" si="6"/>
        <v>127388.56968750004</v>
      </c>
    </row>
    <row r="11" spans="1:16" x14ac:dyDescent="0.3">
      <c r="A11" t="s">
        <v>21</v>
      </c>
      <c r="B11" t="s">
        <v>14</v>
      </c>
      <c r="C11" t="s">
        <v>15</v>
      </c>
      <c r="D11" t="s">
        <v>22</v>
      </c>
      <c r="E11" s="1">
        <v>154.25749999999999</v>
      </c>
      <c r="F11" s="2">
        <v>4602</v>
      </c>
      <c r="G11" s="7">
        <f t="shared" si="0"/>
        <v>709893.01500000001</v>
      </c>
      <c r="H11" s="7">
        <f t="shared" si="1"/>
        <v>771.28749999999991</v>
      </c>
      <c r="I11" s="7">
        <f t="shared" si="2"/>
        <v>710664.30249999999</v>
      </c>
      <c r="J11" s="7">
        <f t="shared" si="3"/>
        <v>231.63764749022164</v>
      </c>
      <c r="K11" s="3">
        <f t="shared" si="4"/>
        <v>4602</v>
      </c>
      <c r="L11" s="1">
        <f t="shared" si="5"/>
        <v>1065996.4537499999</v>
      </c>
      <c r="M11" s="7">
        <f t="shared" si="6"/>
        <v>355332.15124999988</v>
      </c>
    </row>
    <row r="12" spans="1:16" x14ac:dyDescent="0.3">
      <c r="A12" t="s">
        <v>21</v>
      </c>
      <c r="B12" t="s">
        <v>14</v>
      </c>
      <c r="C12" t="s">
        <v>15</v>
      </c>
      <c r="D12" t="s">
        <v>22</v>
      </c>
      <c r="E12" s="1">
        <v>163.42500000000001</v>
      </c>
      <c r="F12" s="2">
        <v>4767</v>
      </c>
      <c r="G12" s="7">
        <f t="shared" si="0"/>
        <v>779046.97500000009</v>
      </c>
      <c r="H12" s="7">
        <f t="shared" si="1"/>
        <v>817.125</v>
      </c>
      <c r="I12" s="7">
        <f t="shared" si="2"/>
        <v>779864.10000000009</v>
      </c>
      <c r="J12" s="7">
        <f t="shared" si="3"/>
        <v>245.3946192573946</v>
      </c>
      <c r="K12" s="3">
        <f t="shared" si="4"/>
        <v>4767</v>
      </c>
      <c r="L12" s="1">
        <f t="shared" si="5"/>
        <v>1169796.1500000001</v>
      </c>
      <c r="M12" s="7">
        <f t="shared" si="6"/>
        <v>389932.05000000005</v>
      </c>
    </row>
    <row r="13" spans="1:16" x14ac:dyDescent="0.3">
      <c r="A13" t="s">
        <v>21</v>
      </c>
      <c r="B13" t="s">
        <v>14</v>
      </c>
      <c r="C13" t="s">
        <v>15</v>
      </c>
      <c r="D13" t="s">
        <v>22</v>
      </c>
      <c r="E13" s="1">
        <v>184.76</v>
      </c>
      <c r="F13" s="2">
        <v>4921.5</v>
      </c>
      <c r="G13" s="7">
        <f t="shared" si="0"/>
        <v>909296.34</v>
      </c>
      <c r="H13" s="7">
        <f t="shared" si="1"/>
        <v>923.8</v>
      </c>
      <c r="I13" s="7">
        <f t="shared" si="2"/>
        <v>910220.14</v>
      </c>
      <c r="J13" s="7">
        <f t="shared" si="3"/>
        <v>277.4215604998476</v>
      </c>
      <c r="K13" s="3">
        <f t="shared" si="4"/>
        <v>4921.5</v>
      </c>
      <c r="L13" s="1">
        <f t="shared" si="5"/>
        <v>1365330.21</v>
      </c>
      <c r="M13" s="7">
        <f t="shared" si="6"/>
        <v>455110.06999999995</v>
      </c>
    </row>
    <row r="14" spans="1:16" x14ac:dyDescent="0.3">
      <c r="A14" t="s">
        <v>23</v>
      </c>
      <c r="B14" t="s">
        <v>14</v>
      </c>
      <c r="C14" t="s">
        <v>24</v>
      </c>
      <c r="D14" t="s">
        <v>25</v>
      </c>
      <c r="E14" s="1">
        <v>103.28749999999999</v>
      </c>
      <c r="F14" s="2">
        <v>4186.5</v>
      </c>
      <c r="G14" s="7">
        <f t="shared" si="0"/>
        <v>432413.11874999997</v>
      </c>
      <c r="H14" s="7">
        <f t="shared" si="1"/>
        <v>516.4375</v>
      </c>
      <c r="I14" s="7">
        <f t="shared" si="2"/>
        <v>432929.55624999997</v>
      </c>
      <c r="J14" s="7">
        <f t="shared" si="3"/>
        <v>155.1162867251881</v>
      </c>
      <c r="K14" s="3">
        <f t="shared" si="4"/>
        <v>4186.5</v>
      </c>
      <c r="L14" s="1">
        <f t="shared" si="5"/>
        <v>649394.33437499998</v>
      </c>
      <c r="M14" s="7">
        <f t="shared" si="6"/>
        <v>216464.77812500001</v>
      </c>
    </row>
    <row r="15" spans="1:16" x14ac:dyDescent="0.3">
      <c r="A15" t="s">
        <v>23</v>
      </c>
      <c r="B15" t="s">
        <v>14</v>
      </c>
      <c r="C15" t="s">
        <v>24</v>
      </c>
      <c r="D15" t="s">
        <v>25</v>
      </c>
      <c r="E15" s="1">
        <v>121.67749999999999</v>
      </c>
      <c r="F15" s="2">
        <v>4174.25</v>
      </c>
      <c r="G15" s="7">
        <f t="shared" si="0"/>
        <v>507912.30437500001</v>
      </c>
      <c r="H15" s="7">
        <f t="shared" si="1"/>
        <v>608.38749999999993</v>
      </c>
      <c r="I15" s="7">
        <f t="shared" si="2"/>
        <v>508520.69187500002</v>
      </c>
      <c r="J15" s="7">
        <f t="shared" si="3"/>
        <v>182.73487160867222</v>
      </c>
      <c r="K15" s="3">
        <f t="shared" si="4"/>
        <v>4174.25</v>
      </c>
      <c r="L15" s="1">
        <f t="shared" si="5"/>
        <v>762781.03781250003</v>
      </c>
      <c r="M15" s="7">
        <f t="shared" si="6"/>
        <v>254260.34593750001</v>
      </c>
    </row>
    <row r="16" spans="1:16" x14ac:dyDescent="0.3">
      <c r="A16" t="s">
        <v>26</v>
      </c>
      <c r="B16" t="s">
        <v>14</v>
      </c>
      <c r="C16" t="s">
        <v>24</v>
      </c>
      <c r="D16" t="s">
        <v>25</v>
      </c>
      <c r="E16" s="1">
        <v>103.28749999999999</v>
      </c>
      <c r="F16" s="2">
        <v>4573.75</v>
      </c>
      <c r="G16" s="7">
        <f t="shared" si="0"/>
        <v>472411.203125</v>
      </c>
      <c r="H16" s="7">
        <f t="shared" si="1"/>
        <v>516.4375</v>
      </c>
      <c r="I16" s="7">
        <f t="shared" si="2"/>
        <v>472927.640625</v>
      </c>
      <c r="J16" s="7">
        <f t="shared" si="3"/>
        <v>155.10062004646079</v>
      </c>
      <c r="K16" s="3">
        <f t="shared" si="4"/>
        <v>4573.75</v>
      </c>
      <c r="L16" s="1">
        <f t="shared" si="5"/>
        <v>709391.4609375</v>
      </c>
      <c r="M16" s="7">
        <f t="shared" si="6"/>
        <v>236463.8203125</v>
      </c>
    </row>
    <row r="17" spans="1:15" x14ac:dyDescent="0.3">
      <c r="A17" t="s">
        <v>26</v>
      </c>
      <c r="B17" t="s">
        <v>14</v>
      </c>
      <c r="C17" t="s">
        <v>24</v>
      </c>
      <c r="D17" t="s">
        <v>25</v>
      </c>
      <c r="E17" s="1">
        <v>121.67749999999999</v>
      </c>
      <c r="F17" s="2">
        <v>4411.25</v>
      </c>
      <c r="G17" s="7">
        <f t="shared" si="0"/>
        <v>536749.87187499995</v>
      </c>
      <c r="H17" s="7">
        <f t="shared" si="1"/>
        <v>608.38749999999993</v>
      </c>
      <c r="I17" s="7">
        <f t="shared" si="2"/>
        <v>537358.25937499991</v>
      </c>
      <c r="J17" s="7">
        <f t="shared" si="3"/>
        <v>182.72312588551995</v>
      </c>
      <c r="K17" s="3">
        <f t="shared" si="4"/>
        <v>4411.25</v>
      </c>
      <c r="L17" s="1">
        <f t="shared" si="5"/>
        <v>806037.38906249986</v>
      </c>
      <c r="M17" s="7">
        <f t="shared" si="6"/>
        <v>268679.12968749995</v>
      </c>
    </row>
    <row r="18" spans="1:15" x14ac:dyDescent="0.3">
      <c r="A18" t="s">
        <v>27</v>
      </c>
      <c r="B18" t="s">
        <v>14</v>
      </c>
      <c r="C18" t="s">
        <v>24</v>
      </c>
      <c r="D18" t="s">
        <v>28</v>
      </c>
      <c r="E18" s="1">
        <v>474.52249999999998</v>
      </c>
      <c r="F18" s="2">
        <v>4250.25</v>
      </c>
      <c r="G18" s="7">
        <f t="shared" si="0"/>
        <v>2016839.255625</v>
      </c>
      <c r="H18" s="7">
        <f t="shared" si="1"/>
        <v>2372.6124999999997</v>
      </c>
      <c r="I18" s="7">
        <f t="shared" si="2"/>
        <v>2019211.868125</v>
      </c>
      <c r="J18" s="7">
        <f t="shared" si="3"/>
        <v>712.62109339156518</v>
      </c>
      <c r="K18" s="3">
        <f t="shared" si="4"/>
        <v>4250.25</v>
      </c>
      <c r="L18" s="1">
        <f t="shared" si="5"/>
        <v>3028817.8021875001</v>
      </c>
      <c r="M18" s="7">
        <f t="shared" si="6"/>
        <v>1009605.9340625</v>
      </c>
    </row>
    <row r="19" spans="1:15" x14ac:dyDescent="0.3">
      <c r="A19" t="s">
        <v>29</v>
      </c>
      <c r="B19" t="s">
        <v>14</v>
      </c>
      <c r="C19" t="s">
        <v>24</v>
      </c>
      <c r="D19" t="s">
        <v>28</v>
      </c>
      <c r="E19" s="1">
        <v>474.52249999999998</v>
      </c>
      <c r="F19" s="2">
        <v>4522.25</v>
      </c>
      <c r="G19" s="7">
        <f t="shared" si="0"/>
        <v>2145909.3756249999</v>
      </c>
      <c r="H19" s="7">
        <f t="shared" si="1"/>
        <v>2372.6124999999997</v>
      </c>
      <c r="I19" s="7">
        <f t="shared" si="2"/>
        <v>2148281.9881249997</v>
      </c>
      <c r="J19" s="7">
        <f t="shared" si="3"/>
        <v>712.57072965614452</v>
      </c>
      <c r="K19" s="3">
        <f t="shared" si="4"/>
        <v>4522.25</v>
      </c>
      <c r="L19" s="1">
        <f t="shared" si="5"/>
        <v>3222422.9821874998</v>
      </c>
      <c r="M19" s="7">
        <f t="shared" si="6"/>
        <v>1074140.9940625001</v>
      </c>
    </row>
    <row r="20" spans="1:15" x14ac:dyDescent="0.3">
      <c r="A20" t="s">
        <v>30</v>
      </c>
      <c r="B20" t="s">
        <v>14</v>
      </c>
      <c r="C20" t="s">
        <v>24</v>
      </c>
      <c r="D20" t="s">
        <v>28</v>
      </c>
      <c r="E20" s="1">
        <v>474.52249999999998</v>
      </c>
      <c r="F20" s="2">
        <v>4188.25</v>
      </c>
      <c r="G20" s="7">
        <f t="shared" si="0"/>
        <v>1987418.860625</v>
      </c>
      <c r="H20" s="7">
        <f t="shared" si="1"/>
        <v>2372.6124999999997</v>
      </c>
      <c r="I20" s="7">
        <f t="shared" si="2"/>
        <v>1989791.473125</v>
      </c>
      <c r="J20" s="7">
        <f t="shared" si="3"/>
        <v>712.63348885274286</v>
      </c>
      <c r="K20" s="3">
        <f t="shared" si="4"/>
        <v>4188.25</v>
      </c>
      <c r="L20" s="1">
        <f t="shared" si="5"/>
        <v>2984687.2096875003</v>
      </c>
      <c r="M20" s="7">
        <f t="shared" si="6"/>
        <v>994895.73656250024</v>
      </c>
    </row>
    <row r="21" spans="1:15" x14ac:dyDescent="0.3">
      <c r="A21" t="s">
        <v>31</v>
      </c>
      <c r="B21" t="s">
        <v>14</v>
      </c>
      <c r="C21" t="s">
        <v>24</v>
      </c>
      <c r="D21" t="s">
        <v>28</v>
      </c>
      <c r="E21" s="1">
        <v>474.52249999999998</v>
      </c>
      <c r="F21" s="2">
        <v>3981.75</v>
      </c>
      <c r="G21" s="7">
        <f t="shared" si="0"/>
        <v>1889429.964375</v>
      </c>
      <c r="H21" s="7">
        <f t="shared" si="1"/>
        <v>2372.6124999999997</v>
      </c>
      <c r="I21" s="7">
        <f t="shared" si="2"/>
        <v>1891802.576875</v>
      </c>
      <c r="J21" s="7">
        <f t="shared" si="3"/>
        <v>712.67755768506299</v>
      </c>
      <c r="K21" s="3">
        <f t="shared" si="4"/>
        <v>3981.75</v>
      </c>
      <c r="L21" s="1">
        <f t="shared" si="5"/>
        <v>2837703.8653124995</v>
      </c>
      <c r="M21" s="7">
        <f t="shared" si="6"/>
        <v>945901.28843749943</v>
      </c>
    </row>
    <row r="22" spans="1:15" x14ac:dyDescent="0.3">
      <c r="A22" t="s">
        <v>32</v>
      </c>
      <c r="B22" t="s">
        <v>14</v>
      </c>
      <c r="C22" t="s">
        <v>24</v>
      </c>
      <c r="D22" t="s">
        <v>28</v>
      </c>
      <c r="E22" s="1">
        <v>276.45249999999999</v>
      </c>
      <c r="F22" s="2">
        <v>4690</v>
      </c>
      <c r="G22" s="7">
        <f t="shared" si="0"/>
        <v>1296562.2249999999</v>
      </c>
      <c r="H22" s="7">
        <f t="shared" si="1"/>
        <v>1382.2624999999998</v>
      </c>
      <c r="I22" s="7">
        <f t="shared" si="2"/>
        <v>1297944.4874999998</v>
      </c>
      <c r="J22" s="7">
        <f t="shared" si="3"/>
        <v>415.12083821961619</v>
      </c>
      <c r="K22" s="3">
        <f t="shared" si="4"/>
        <v>4690</v>
      </c>
      <c r="L22" s="1">
        <f t="shared" si="5"/>
        <v>1946916.73125</v>
      </c>
      <c r="M22" s="7">
        <f t="shared" si="6"/>
        <v>648972.24375000014</v>
      </c>
      <c r="O22" s="6"/>
    </row>
    <row r="23" spans="1:15" x14ac:dyDescent="0.3">
      <c r="A23" t="s">
        <v>32</v>
      </c>
      <c r="B23" t="s">
        <v>14</v>
      </c>
      <c r="C23" t="s">
        <v>24</v>
      </c>
      <c r="D23" t="s">
        <v>28</v>
      </c>
      <c r="E23" s="1">
        <v>312.995</v>
      </c>
      <c r="F23" s="2">
        <v>3997.75</v>
      </c>
      <c r="G23" s="7">
        <f t="shared" si="0"/>
        <v>1251275.76125</v>
      </c>
      <c r="H23" s="7">
        <f t="shared" si="1"/>
        <v>1564.9749999999999</v>
      </c>
      <c r="I23" s="7">
        <f t="shared" si="2"/>
        <v>1252840.7362500001</v>
      </c>
      <c r="J23" s="7">
        <f t="shared" si="3"/>
        <v>470.07969592270655</v>
      </c>
      <c r="K23" s="3">
        <f t="shared" si="4"/>
        <v>3997.75</v>
      </c>
      <c r="L23" s="1">
        <f t="shared" si="5"/>
        <v>1879261.1043750001</v>
      </c>
      <c r="M23" s="7">
        <f t="shared" si="6"/>
        <v>626420.36812500004</v>
      </c>
    </row>
    <row r="24" spans="1:15" x14ac:dyDescent="0.3">
      <c r="A24" t="s">
        <v>33</v>
      </c>
      <c r="B24" t="s">
        <v>14</v>
      </c>
      <c r="C24" t="s">
        <v>24</v>
      </c>
      <c r="D24" t="s">
        <v>25</v>
      </c>
      <c r="E24" s="1">
        <v>330.17</v>
      </c>
      <c r="F24" s="2">
        <v>4428.75</v>
      </c>
      <c r="G24" s="7">
        <f t="shared" si="0"/>
        <v>1462240.3875000002</v>
      </c>
      <c r="H24" s="7">
        <f t="shared" si="1"/>
        <v>1650.8500000000001</v>
      </c>
      <c r="I24" s="7">
        <f t="shared" si="2"/>
        <v>1463891.2375000003</v>
      </c>
      <c r="J24" s="7">
        <f t="shared" si="3"/>
        <v>495.81413632514824</v>
      </c>
      <c r="K24" s="3">
        <f t="shared" si="4"/>
        <v>4428.75</v>
      </c>
      <c r="L24" s="1">
        <f t="shared" si="5"/>
        <v>2195836.8562500002</v>
      </c>
      <c r="M24" s="7">
        <f t="shared" si="6"/>
        <v>731945.61874999991</v>
      </c>
    </row>
    <row r="25" spans="1:15" x14ac:dyDescent="0.3">
      <c r="A25" t="s">
        <v>34</v>
      </c>
      <c r="B25" t="s">
        <v>14</v>
      </c>
      <c r="C25" t="s">
        <v>24</v>
      </c>
      <c r="D25" t="s">
        <v>25</v>
      </c>
      <c r="E25" s="1">
        <v>330.17</v>
      </c>
      <c r="F25" s="2">
        <v>3995.5</v>
      </c>
      <c r="G25" s="7">
        <f t="shared" si="0"/>
        <v>1319194.2350000001</v>
      </c>
      <c r="H25" s="7">
        <f t="shared" si="1"/>
        <v>1650.8500000000001</v>
      </c>
      <c r="I25" s="7">
        <f t="shared" si="2"/>
        <v>1320845.0850000002</v>
      </c>
      <c r="J25" s="7">
        <f t="shared" si="3"/>
        <v>495.8747659867351</v>
      </c>
      <c r="K25" s="3">
        <f t="shared" si="4"/>
        <v>3995.5</v>
      </c>
      <c r="L25" s="1">
        <f t="shared" si="5"/>
        <v>1981267.6275000002</v>
      </c>
      <c r="M25" s="7">
        <f t="shared" si="6"/>
        <v>660422.54249999998</v>
      </c>
    </row>
    <row r="26" spans="1:15" x14ac:dyDescent="0.3">
      <c r="A26" t="s">
        <v>35</v>
      </c>
      <c r="B26" t="s">
        <v>14</v>
      </c>
      <c r="C26" t="s">
        <v>15</v>
      </c>
      <c r="D26" t="s">
        <v>22</v>
      </c>
      <c r="E26" s="1">
        <v>46.454999999999998</v>
      </c>
      <c r="F26" s="2">
        <v>4210.75</v>
      </c>
      <c r="G26" s="7">
        <f t="shared" si="0"/>
        <v>195610.39124999999</v>
      </c>
      <c r="H26" s="7">
        <f t="shared" si="1"/>
        <v>232.27499999999998</v>
      </c>
      <c r="I26" s="7">
        <f t="shared" si="2"/>
        <v>195842.66624999998</v>
      </c>
      <c r="J26" s="7">
        <f t="shared" si="3"/>
        <v>69.76524357299769</v>
      </c>
      <c r="K26" s="3">
        <f t="shared" si="4"/>
        <v>4210.75</v>
      </c>
      <c r="L26" s="1">
        <f t="shared" si="5"/>
        <v>293763.99937500001</v>
      </c>
      <c r="M26" s="7">
        <f t="shared" si="6"/>
        <v>97921.333125000034</v>
      </c>
    </row>
    <row r="27" spans="1:15" x14ac:dyDescent="0.3">
      <c r="A27" t="s">
        <v>36</v>
      </c>
      <c r="B27" t="s">
        <v>14</v>
      </c>
      <c r="C27" t="s">
        <v>15</v>
      </c>
      <c r="D27" t="s">
        <v>37</v>
      </c>
      <c r="E27" s="1">
        <v>6.7424999999999997</v>
      </c>
      <c r="F27" s="2">
        <v>4178</v>
      </c>
      <c r="G27" s="7">
        <f t="shared" si="0"/>
        <v>28170.164999999997</v>
      </c>
      <c r="H27" s="7">
        <f t="shared" si="1"/>
        <v>33.712499999999999</v>
      </c>
      <c r="I27" s="7">
        <f t="shared" si="2"/>
        <v>28203.877499999999</v>
      </c>
      <c r="J27" s="7">
        <f t="shared" si="3"/>
        <v>10.125853578267114</v>
      </c>
      <c r="K27" s="3">
        <f t="shared" si="4"/>
        <v>4178</v>
      </c>
      <c r="L27" s="1">
        <f t="shared" si="5"/>
        <v>42305.816250000003</v>
      </c>
      <c r="M27" s="7">
        <f t="shared" si="6"/>
        <v>14101.938750000005</v>
      </c>
    </row>
    <row r="28" spans="1:15" x14ac:dyDescent="0.3">
      <c r="A28" t="s">
        <v>38</v>
      </c>
      <c r="B28" t="s">
        <v>14</v>
      </c>
      <c r="C28" t="s">
        <v>15</v>
      </c>
      <c r="D28" t="s">
        <v>37</v>
      </c>
      <c r="E28" s="1">
        <v>23.202500000000001</v>
      </c>
      <c r="F28" s="2">
        <v>3779</v>
      </c>
      <c r="G28" s="7">
        <f t="shared" si="0"/>
        <v>87682.247499999998</v>
      </c>
      <c r="H28" s="7">
        <f t="shared" si="1"/>
        <v>116.0125</v>
      </c>
      <c r="I28" s="7">
        <f t="shared" si="2"/>
        <v>87798.26</v>
      </c>
      <c r="J28" s="7">
        <f t="shared" si="3"/>
        <v>34.849798888594869</v>
      </c>
      <c r="K28" s="3">
        <f t="shared" si="4"/>
        <v>3779</v>
      </c>
      <c r="L28" s="1">
        <f t="shared" si="5"/>
        <v>131697.39000000001</v>
      </c>
      <c r="M28" s="7">
        <f t="shared" si="6"/>
        <v>43899.130000000019</v>
      </c>
    </row>
    <row r="29" spans="1:15" x14ac:dyDescent="0.3">
      <c r="A29" t="s">
        <v>39</v>
      </c>
      <c r="B29" t="s">
        <v>14</v>
      </c>
      <c r="C29" t="s">
        <v>15</v>
      </c>
      <c r="D29" t="s">
        <v>37</v>
      </c>
      <c r="E29" s="1">
        <v>33.325000000000003</v>
      </c>
      <c r="F29" s="2">
        <v>4019.25</v>
      </c>
      <c r="G29" s="7">
        <f t="shared" si="0"/>
        <v>133941.50625000001</v>
      </c>
      <c r="H29" s="7">
        <f t="shared" si="1"/>
        <v>166.625</v>
      </c>
      <c r="I29" s="7">
        <f t="shared" si="2"/>
        <v>134108.13125000001</v>
      </c>
      <c r="J29" s="7">
        <f t="shared" si="3"/>
        <v>50.049685109162155</v>
      </c>
      <c r="K29" s="3">
        <f t="shared" si="4"/>
        <v>4019.25</v>
      </c>
      <c r="L29" s="1">
        <f t="shared" si="5"/>
        <v>201162.19687499999</v>
      </c>
      <c r="M29" s="7">
        <f t="shared" si="6"/>
        <v>67054.065624999988</v>
      </c>
    </row>
    <row r="30" spans="1:15" x14ac:dyDescent="0.3">
      <c r="A30" t="s">
        <v>40</v>
      </c>
      <c r="B30" t="s">
        <v>14</v>
      </c>
      <c r="C30" t="s">
        <v>15</v>
      </c>
      <c r="D30" t="s">
        <v>37</v>
      </c>
      <c r="E30" s="1">
        <v>9.74</v>
      </c>
      <c r="F30" s="2">
        <v>4449.75</v>
      </c>
      <c r="G30" s="7">
        <f t="shared" si="0"/>
        <v>43340.565000000002</v>
      </c>
      <c r="H30" s="7">
        <f t="shared" si="1"/>
        <v>48.7</v>
      </c>
      <c r="I30" s="7">
        <f t="shared" si="2"/>
        <v>43389.264999999999</v>
      </c>
      <c r="J30" s="7">
        <f t="shared" si="3"/>
        <v>14.626416652620934</v>
      </c>
      <c r="K30" s="3">
        <f t="shared" si="4"/>
        <v>4449.75</v>
      </c>
      <c r="L30" s="1">
        <f t="shared" si="5"/>
        <v>65083.897499999999</v>
      </c>
      <c r="M30" s="7">
        <f t="shared" si="6"/>
        <v>21694.6325</v>
      </c>
    </row>
    <row r="31" spans="1:15" x14ac:dyDescent="0.3">
      <c r="A31" t="s">
        <v>41</v>
      </c>
      <c r="B31" t="s">
        <v>14</v>
      </c>
      <c r="C31" t="s">
        <v>15</v>
      </c>
      <c r="D31" t="s">
        <v>37</v>
      </c>
      <c r="E31" s="1">
        <v>26.2</v>
      </c>
      <c r="F31" s="2">
        <v>4888.25</v>
      </c>
      <c r="G31" s="7">
        <f t="shared" si="0"/>
        <v>128072.15</v>
      </c>
      <c r="H31" s="7">
        <f t="shared" si="1"/>
        <v>131</v>
      </c>
      <c r="I31" s="7">
        <f t="shared" si="2"/>
        <v>128203.15</v>
      </c>
      <c r="J31" s="7">
        <f t="shared" si="3"/>
        <v>39.340198435022756</v>
      </c>
      <c r="K31" s="3">
        <f t="shared" si="4"/>
        <v>4888.25</v>
      </c>
      <c r="L31" s="1">
        <f t="shared" si="5"/>
        <v>192304.72499999998</v>
      </c>
      <c r="M31" s="7">
        <f t="shared" si="6"/>
        <v>64101.574999999983</v>
      </c>
    </row>
    <row r="32" spans="1:15" x14ac:dyDescent="0.3">
      <c r="A32" t="s">
        <v>42</v>
      </c>
      <c r="B32" t="s">
        <v>14</v>
      </c>
      <c r="C32" t="s">
        <v>15</v>
      </c>
      <c r="D32" t="s">
        <v>37</v>
      </c>
      <c r="E32" s="1">
        <v>36.32</v>
      </c>
      <c r="F32" s="2">
        <v>3775.25</v>
      </c>
      <c r="G32" s="7">
        <f t="shared" si="0"/>
        <v>137117.07999999999</v>
      </c>
      <c r="H32" s="7">
        <f t="shared" si="1"/>
        <v>181.6</v>
      </c>
      <c r="I32" s="7">
        <f t="shared" si="2"/>
        <v>137298.68</v>
      </c>
      <c r="J32" s="7">
        <f t="shared" si="3"/>
        <v>54.552154161976034</v>
      </c>
      <c r="K32" s="3">
        <f t="shared" si="4"/>
        <v>3775.25</v>
      </c>
      <c r="L32" s="1">
        <f t="shared" si="5"/>
        <v>205948.02000000002</v>
      </c>
      <c r="M32" s="7">
        <f t="shared" si="6"/>
        <v>68649.340000000026</v>
      </c>
    </row>
    <row r="33" spans="1:13" x14ac:dyDescent="0.3">
      <c r="A33" t="s">
        <v>43</v>
      </c>
      <c r="B33" t="s">
        <v>14</v>
      </c>
      <c r="C33" t="s">
        <v>15</v>
      </c>
      <c r="D33" t="s">
        <v>37</v>
      </c>
      <c r="E33" s="1">
        <v>12.494999999999999</v>
      </c>
      <c r="F33" s="2">
        <v>4887</v>
      </c>
      <c r="G33" s="7">
        <f t="shared" si="0"/>
        <v>61063.064999999995</v>
      </c>
      <c r="H33" s="7">
        <f t="shared" si="1"/>
        <v>62.474999999999994</v>
      </c>
      <c r="I33" s="7">
        <f t="shared" si="2"/>
        <v>61125.539999999994</v>
      </c>
      <c r="J33" s="7">
        <f t="shared" si="3"/>
        <v>18.761675874769796</v>
      </c>
      <c r="K33" s="3">
        <f t="shared" si="4"/>
        <v>4887</v>
      </c>
      <c r="L33" s="1">
        <f t="shared" si="5"/>
        <v>91688.31</v>
      </c>
      <c r="M33" s="7">
        <f t="shared" si="6"/>
        <v>30562.770000000004</v>
      </c>
    </row>
    <row r="34" spans="1:13" x14ac:dyDescent="0.3">
      <c r="A34" t="s">
        <v>44</v>
      </c>
      <c r="B34" t="s">
        <v>14</v>
      </c>
      <c r="C34" t="s">
        <v>15</v>
      </c>
      <c r="D34" t="s">
        <v>22</v>
      </c>
      <c r="E34" s="1">
        <v>46.454999999999998</v>
      </c>
      <c r="F34" s="2">
        <v>4725.25</v>
      </c>
      <c r="G34" s="7">
        <f t="shared" si="0"/>
        <v>219511.48874999999</v>
      </c>
      <c r="H34" s="7">
        <f t="shared" si="1"/>
        <v>232.27499999999998</v>
      </c>
      <c r="I34" s="7">
        <f t="shared" si="2"/>
        <v>219743.76374999998</v>
      </c>
      <c r="J34" s="7">
        <f t="shared" si="3"/>
        <v>69.756234193957994</v>
      </c>
      <c r="K34" s="3">
        <f t="shared" si="4"/>
        <v>4725.25</v>
      </c>
      <c r="L34" s="1">
        <f t="shared" si="5"/>
        <v>329615.645625</v>
      </c>
      <c r="M34" s="7">
        <f t="shared" si="6"/>
        <v>109871.88187500002</v>
      </c>
    </row>
    <row r="35" spans="1:13" x14ac:dyDescent="0.3">
      <c r="A35" t="s">
        <v>45</v>
      </c>
      <c r="B35" t="s">
        <v>14</v>
      </c>
      <c r="C35" t="s">
        <v>15</v>
      </c>
      <c r="D35" t="s">
        <v>22</v>
      </c>
      <c r="E35" s="1">
        <v>46.454999999999998</v>
      </c>
      <c r="F35" s="2">
        <v>4326.25</v>
      </c>
      <c r="G35" s="7">
        <f t="shared" si="0"/>
        <v>200975.94375000001</v>
      </c>
      <c r="H35" s="7">
        <f t="shared" si="1"/>
        <v>232.27499999999998</v>
      </c>
      <c r="I35" s="7">
        <f t="shared" si="2"/>
        <v>201208.21875</v>
      </c>
      <c r="J35" s="7">
        <f t="shared" si="3"/>
        <v>69.763034527593177</v>
      </c>
      <c r="K35" s="3">
        <f t="shared" si="4"/>
        <v>4326.25</v>
      </c>
      <c r="L35" s="1">
        <f t="shared" si="5"/>
        <v>301812.328125</v>
      </c>
      <c r="M35" s="7">
        <f t="shared" si="6"/>
        <v>100604.109375</v>
      </c>
    </row>
    <row r="36" spans="1:13" x14ac:dyDescent="0.3">
      <c r="A36" t="s">
        <v>46</v>
      </c>
      <c r="B36" t="s">
        <v>14</v>
      </c>
      <c r="C36" t="s">
        <v>15</v>
      </c>
      <c r="D36" t="s">
        <v>22</v>
      </c>
      <c r="E36" s="1">
        <v>46.454999999999998</v>
      </c>
      <c r="F36" s="2">
        <v>3953.5</v>
      </c>
      <c r="G36" s="7">
        <f t="shared" si="0"/>
        <v>183659.8425</v>
      </c>
      <c r="H36" s="7">
        <f t="shared" si="1"/>
        <v>232.27499999999998</v>
      </c>
      <c r="I36" s="7">
        <f t="shared" si="2"/>
        <v>183892.11749999999</v>
      </c>
      <c r="J36" s="7">
        <f t="shared" si="3"/>
        <v>69.770627608448208</v>
      </c>
      <c r="K36" s="3">
        <f t="shared" si="4"/>
        <v>3953.5</v>
      </c>
      <c r="L36" s="1">
        <f t="shared" si="5"/>
        <v>275838.17625000002</v>
      </c>
      <c r="M36" s="7">
        <f t="shared" si="6"/>
        <v>91946.058750000026</v>
      </c>
    </row>
    <row r="37" spans="1:13" x14ac:dyDescent="0.3">
      <c r="A37" t="s">
        <v>47</v>
      </c>
      <c r="B37" t="s">
        <v>14</v>
      </c>
      <c r="C37" t="s">
        <v>15</v>
      </c>
      <c r="D37" t="s">
        <v>16</v>
      </c>
      <c r="E37" s="1">
        <v>180.565</v>
      </c>
      <c r="F37" s="2">
        <v>4226.5</v>
      </c>
      <c r="G37" s="7">
        <f t="shared" si="0"/>
        <v>763157.97250000003</v>
      </c>
      <c r="H37" s="7">
        <f t="shared" si="1"/>
        <v>902.82500000000005</v>
      </c>
      <c r="I37" s="7">
        <f t="shared" si="2"/>
        <v>764060.79749999999</v>
      </c>
      <c r="J37" s="7">
        <f t="shared" si="3"/>
        <v>271.16791582869985</v>
      </c>
      <c r="K37" s="3">
        <f t="shared" si="4"/>
        <v>4226.5</v>
      </c>
      <c r="L37" s="1">
        <f t="shared" si="5"/>
        <v>1146091.1962499998</v>
      </c>
      <c r="M37" s="7">
        <f t="shared" si="6"/>
        <v>382030.39874999982</v>
      </c>
    </row>
    <row r="38" spans="1:13" x14ac:dyDescent="0.3">
      <c r="A38" t="s">
        <v>48</v>
      </c>
      <c r="B38" t="s">
        <v>14</v>
      </c>
      <c r="C38" t="s">
        <v>15</v>
      </c>
      <c r="D38" t="s">
        <v>16</v>
      </c>
      <c r="E38" s="1">
        <v>217.1575</v>
      </c>
      <c r="F38" s="2">
        <v>4217.25</v>
      </c>
      <c r="G38" s="7">
        <f t="shared" si="0"/>
        <v>915807.46687500004</v>
      </c>
      <c r="H38" s="7">
        <f t="shared" si="1"/>
        <v>1085.7874999999999</v>
      </c>
      <c r="I38" s="7">
        <f t="shared" si="2"/>
        <v>916893.25437500002</v>
      </c>
      <c r="J38" s="7">
        <f t="shared" si="3"/>
        <v>326.12244509158813</v>
      </c>
      <c r="K38" s="3">
        <f t="shared" si="4"/>
        <v>4217.25</v>
      </c>
      <c r="L38" s="1">
        <f t="shared" si="5"/>
        <v>1375339.8815625</v>
      </c>
      <c r="M38" s="7">
        <f t="shared" si="6"/>
        <v>458446.62718750001</v>
      </c>
    </row>
    <row r="39" spans="1:13" x14ac:dyDescent="0.3">
      <c r="A39" t="s">
        <v>48</v>
      </c>
      <c r="B39" t="s">
        <v>14</v>
      </c>
      <c r="C39" t="s">
        <v>15</v>
      </c>
      <c r="D39" t="s">
        <v>16</v>
      </c>
      <c r="E39" s="1">
        <v>217.1575</v>
      </c>
      <c r="F39" s="2">
        <v>4117.75</v>
      </c>
      <c r="G39" s="7">
        <f t="shared" si="0"/>
        <v>894200.29562500003</v>
      </c>
      <c r="H39" s="7">
        <f t="shared" si="1"/>
        <v>1085.7874999999999</v>
      </c>
      <c r="I39" s="7">
        <f t="shared" si="2"/>
        <v>895286.083125</v>
      </c>
      <c r="J39" s="7">
        <f t="shared" si="3"/>
        <v>326.13177698682534</v>
      </c>
      <c r="K39" s="3">
        <f t="shared" si="4"/>
        <v>4117.75</v>
      </c>
      <c r="L39" s="1">
        <f t="shared" si="5"/>
        <v>1342929.1246875001</v>
      </c>
      <c r="M39" s="7">
        <f t="shared" si="6"/>
        <v>447643.04156250006</v>
      </c>
    </row>
    <row r="40" spans="1:13" x14ac:dyDescent="0.3">
      <c r="A40" t="s">
        <v>49</v>
      </c>
      <c r="B40" t="s">
        <v>14</v>
      </c>
      <c r="C40" t="s">
        <v>15</v>
      </c>
      <c r="D40" t="s">
        <v>16</v>
      </c>
      <c r="E40" s="1">
        <v>180.565</v>
      </c>
      <c r="F40" s="2">
        <v>3940.5</v>
      </c>
      <c r="G40" s="7">
        <f t="shared" si="0"/>
        <v>711516.38249999995</v>
      </c>
      <c r="H40" s="7">
        <f t="shared" si="1"/>
        <v>902.82500000000005</v>
      </c>
      <c r="I40" s="7">
        <f t="shared" si="2"/>
        <v>712419.2074999999</v>
      </c>
      <c r="J40" s="7">
        <f t="shared" si="3"/>
        <v>271.19117148838978</v>
      </c>
      <c r="K40" s="3">
        <f t="shared" si="4"/>
        <v>3940.5</v>
      </c>
      <c r="L40" s="1">
        <f t="shared" si="5"/>
        <v>1068628.81125</v>
      </c>
      <c r="M40" s="7">
        <f t="shared" si="6"/>
        <v>356209.60375000013</v>
      </c>
    </row>
    <row r="41" spans="1:13" x14ac:dyDescent="0.3">
      <c r="A41" t="s">
        <v>50</v>
      </c>
      <c r="B41" t="s">
        <v>14</v>
      </c>
      <c r="C41" t="s">
        <v>15</v>
      </c>
      <c r="D41" t="s">
        <v>16</v>
      </c>
      <c r="E41" s="1">
        <v>180.565</v>
      </c>
      <c r="F41" s="2">
        <v>3801</v>
      </c>
      <c r="G41" s="7">
        <f t="shared" si="0"/>
        <v>686327.56499999994</v>
      </c>
      <c r="H41" s="7">
        <f t="shared" si="1"/>
        <v>902.82500000000005</v>
      </c>
      <c r="I41" s="7">
        <f t="shared" si="2"/>
        <v>687230.3899999999</v>
      </c>
      <c r="J41" s="7">
        <f t="shared" si="3"/>
        <v>271.20378453038677</v>
      </c>
      <c r="K41" s="3">
        <f t="shared" si="4"/>
        <v>3801</v>
      </c>
      <c r="L41" s="1">
        <f t="shared" si="5"/>
        <v>1030845.5850000001</v>
      </c>
      <c r="M41" s="7">
        <f t="shared" si="6"/>
        <v>343615.19500000018</v>
      </c>
    </row>
    <row r="42" spans="1:13" x14ac:dyDescent="0.3">
      <c r="A42" t="s">
        <v>51</v>
      </c>
      <c r="B42" t="s">
        <v>14</v>
      </c>
      <c r="C42" t="s">
        <v>52</v>
      </c>
      <c r="D42" t="s">
        <v>53</v>
      </c>
      <c r="E42" s="1">
        <v>6.1875</v>
      </c>
      <c r="F42" s="2">
        <v>3766.25</v>
      </c>
      <c r="G42" s="7">
        <f t="shared" si="0"/>
        <v>23303.671875</v>
      </c>
      <c r="H42" s="7">
        <f t="shared" si="1"/>
        <v>30.9375</v>
      </c>
      <c r="I42" s="7">
        <f t="shared" si="2"/>
        <v>23334.609375</v>
      </c>
      <c r="J42" s="7">
        <f t="shared" si="3"/>
        <v>9.293571606372387</v>
      </c>
      <c r="K42" s="3">
        <f t="shared" si="4"/>
        <v>3766.25</v>
      </c>
      <c r="L42" s="1">
        <f t="shared" si="5"/>
        <v>35001.9140625</v>
      </c>
      <c r="M42" s="7">
        <f t="shared" si="6"/>
        <v>11667.3046875</v>
      </c>
    </row>
    <row r="43" spans="1:13" x14ac:dyDescent="0.3">
      <c r="A43" t="s">
        <v>54</v>
      </c>
      <c r="B43" t="s">
        <v>14</v>
      </c>
      <c r="C43" t="s">
        <v>52</v>
      </c>
      <c r="D43" t="s">
        <v>53</v>
      </c>
      <c r="E43" s="1">
        <v>6.1875</v>
      </c>
      <c r="F43" s="2">
        <v>4846.5</v>
      </c>
      <c r="G43" s="7">
        <f t="shared" si="0"/>
        <v>29987.71875</v>
      </c>
      <c r="H43" s="7">
        <f t="shared" si="1"/>
        <v>30.9375</v>
      </c>
      <c r="I43" s="7">
        <f t="shared" si="2"/>
        <v>30018.65625</v>
      </c>
      <c r="J43" s="7">
        <f t="shared" si="3"/>
        <v>9.2908252089136489</v>
      </c>
      <c r="K43" s="3">
        <f t="shared" si="4"/>
        <v>4846.5</v>
      </c>
      <c r="L43" s="1">
        <f t="shared" si="5"/>
        <v>45027.984375</v>
      </c>
      <c r="M43" s="7">
        <f t="shared" si="6"/>
        <v>15009.328125</v>
      </c>
    </row>
    <row r="44" spans="1:13" x14ac:dyDescent="0.3">
      <c r="A44" t="s">
        <v>55</v>
      </c>
      <c r="B44" t="s">
        <v>14</v>
      </c>
      <c r="C44" t="s">
        <v>52</v>
      </c>
      <c r="D44" t="s">
        <v>53</v>
      </c>
      <c r="E44" s="1">
        <v>6.1875</v>
      </c>
      <c r="F44" s="2">
        <v>4564.75</v>
      </c>
      <c r="G44" s="7">
        <f t="shared" si="0"/>
        <v>28244.390625</v>
      </c>
      <c r="H44" s="7">
        <f t="shared" si="1"/>
        <v>30.9375</v>
      </c>
      <c r="I44" s="7">
        <f t="shared" si="2"/>
        <v>28275.328125</v>
      </c>
      <c r="J44" s="7">
        <f t="shared" si="3"/>
        <v>9.2914162193986538</v>
      </c>
      <c r="K44" s="3">
        <f t="shared" si="4"/>
        <v>4564.75</v>
      </c>
      <c r="L44" s="1">
        <f t="shared" si="5"/>
        <v>42412.992187500007</v>
      </c>
      <c r="M44" s="7">
        <f t="shared" si="6"/>
        <v>14137.664062500007</v>
      </c>
    </row>
    <row r="45" spans="1:13" x14ac:dyDescent="0.3">
      <c r="A45" t="s">
        <v>56</v>
      </c>
      <c r="B45" t="s">
        <v>14</v>
      </c>
      <c r="C45" t="s">
        <v>52</v>
      </c>
      <c r="D45" t="s">
        <v>53</v>
      </c>
      <c r="E45" s="1">
        <v>6.1875</v>
      </c>
      <c r="F45" s="2">
        <v>4899.75</v>
      </c>
      <c r="G45" s="7">
        <f t="shared" si="0"/>
        <v>30317.203125</v>
      </c>
      <c r="H45" s="7">
        <f t="shared" si="1"/>
        <v>30.9375</v>
      </c>
      <c r="I45" s="7">
        <f t="shared" si="2"/>
        <v>30348.140625</v>
      </c>
      <c r="J45" s="7">
        <f t="shared" si="3"/>
        <v>9.2907211464870656</v>
      </c>
      <c r="K45" s="3">
        <f t="shared" si="4"/>
        <v>4899.75</v>
      </c>
      <c r="L45" s="1">
        <f t="shared" si="5"/>
        <v>45522.2109375</v>
      </c>
      <c r="M45" s="7">
        <f t="shared" si="6"/>
        <v>15174.0703125</v>
      </c>
    </row>
    <row r="46" spans="1:13" x14ac:dyDescent="0.3">
      <c r="A46" t="s">
        <v>57</v>
      </c>
      <c r="B46" t="s">
        <v>14</v>
      </c>
      <c r="C46" t="s">
        <v>52</v>
      </c>
      <c r="D46" t="s">
        <v>58</v>
      </c>
      <c r="E46" s="1">
        <v>7.7324999999999999</v>
      </c>
      <c r="F46" s="2">
        <v>4096.25</v>
      </c>
      <c r="G46" s="7">
        <f t="shared" si="0"/>
        <v>31674.253124999999</v>
      </c>
      <c r="H46" s="7">
        <f t="shared" si="1"/>
        <v>38.662500000000001</v>
      </c>
      <c r="I46" s="7">
        <f t="shared" si="2"/>
        <v>31712.915624999998</v>
      </c>
      <c r="J46" s="7">
        <f t="shared" si="3"/>
        <v>11.612907766249618</v>
      </c>
      <c r="K46" s="3">
        <f t="shared" si="4"/>
        <v>4096.25</v>
      </c>
      <c r="L46" s="1">
        <f t="shared" si="5"/>
        <v>47569.373437499999</v>
      </c>
      <c r="M46" s="7">
        <f t="shared" si="6"/>
        <v>15856.457812500001</v>
      </c>
    </row>
    <row r="47" spans="1:13" x14ac:dyDescent="0.3">
      <c r="A47" t="s">
        <v>59</v>
      </c>
      <c r="B47" t="s">
        <v>14</v>
      </c>
      <c r="C47" t="s">
        <v>52</v>
      </c>
      <c r="D47" t="s">
        <v>58</v>
      </c>
      <c r="E47" s="1">
        <v>7.7324999999999999</v>
      </c>
      <c r="F47" s="2">
        <v>4189.5</v>
      </c>
      <c r="G47" s="7">
        <f t="shared" si="0"/>
        <v>32395.30875</v>
      </c>
      <c r="H47" s="7">
        <f t="shared" si="1"/>
        <v>38.662500000000001</v>
      </c>
      <c r="I47" s="7">
        <f t="shared" si="2"/>
        <v>32433.971249999999</v>
      </c>
      <c r="J47" s="7">
        <f t="shared" si="3"/>
        <v>11.612592642320084</v>
      </c>
      <c r="K47" s="3">
        <f t="shared" si="4"/>
        <v>4189.5</v>
      </c>
      <c r="L47" s="1">
        <f t="shared" si="5"/>
        <v>48650.956874999996</v>
      </c>
      <c r="M47" s="7">
        <f t="shared" si="6"/>
        <v>16216.985624999998</v>
      </c>
    </row>
    <row r="48" spans="1:13" x14ac:dyDescent="0.3">
      <c r="A48" t="s">
        <v>60</v>
      </c>
      <c r="B48" t="s">
        <v>14</v>
      </c>
      <c r="C48" t="s">
        <v>52</v>
      </c>
      <c r="D48" t="s">
        <v>58</v>
      </c>
      <c r="E48" s="1">
        <v>7.7324999999999999</v>
      </c>
      <c r="F48" s="2">
        <v>4517.75</v>
      </c>
      <c r="G48" s="7">
        <f t="shared" si="0"/>
        <v>34933.501875000002</v>
      </c>
      <c r="H48" s="7">
        <f t="shared" si="1"/>
        <v>38.662500000000001</v>
      </c>
      <c r="I48" s="7">
        <f t="shared" si="2"/>
        <v>34972.164375</v>
      </c>
      <c r="J48" s="7">
        <f t="shared" si="3"/>
        <v>11.61158686569642</v>
      </c>
      <c r="K48" s="3">
        <f t="shared" si="4"/>
        <v>4517.75</v>
      </c>
      <c r="L48" s="1">
        <f t="shared" si="5"/>
        <v>52458.246562500004</v>
      </c>
      <c r="M48" s="7">
        <f t="shared" si="6"/>
        <v>17486.082187500004</v>
      </c>
    </row>
    <row r="49" spans="1:13" x14ac:dyDescent="0.3">
      <c r="A49" t="s">
        <v>61</v>
      </c>
      <c r="B49" t="s">
        <v>14</v>
      </c>
      <c r="C49" t="s">
        <v>52</v>
      </c>
      <c r="D49" t="s">
        <v>62</v>
      </c>
      <c r="E49" s="1">
        <v>2.4275000000000002</v>
      </c>
      <c r="F49" s="2">
        <v>4585</v>
      </c>
      <c r="G49" s="7">
        <f t="shared" si="0"/>
        <v>11130.087500000001</v>
      </c>
      <c r="H49" s="7">
        <f t="shared" si="1"/>
        <v>12.137500000000001</v>
      </c>
      <c r="I49" s="7">
        <f t="shared" si="2"/>
        <v>11142.225000000002</v>
      </c>
      <c r="J49" s="7">
        <f t="shared" si="3"/>
        <v>3.6452208287895314</v>
      </c>
      <c r="K49" s="3">
        <f t="shared" si="4"/>
        <v>4585</v>
      </c>
      <c r="L49" s="1">
        <f t="shared" si="5"/>
        <v>16713.337500000001</v>
      </c>
      <c r="M49" s="7">
        <f t="shared" si="6"/>
        <v>5571.1124999999993</v>
      </c>
    </row>
    <row r="50" spans="1:13" x14ac:dyDescent="0.3">
      <c r="A50" t="s">
        <v>61</v>
      </c>
      <c r="B50" t="s">
        <v>14</v>
      </c>
      <c r="C50" t="s">
        <v>52</v>
      </c>
      <c r="D50" t="s">
        <v>62</v>
      </c>
      <c r="E50" s="1">
        <v>2.29</v>
      </c>
      <c r="F50" s="2">
        <v>3779.25</v>
      </c>
      <c r="G50" s="7">
        <f t="shared" si="0"/>
        <v>8654.4825000000001</v>
      </c>
      <c r="H50" s="7">
        <f t="shared" si="1"/>
        <v>11.45</v>
      </c>
      <c r="I50" s="7">
        <f t="shared" si="2"/>
        <v>8665.9325000000008</v>
      </c>
      <c r="J50" s="7">
        <f t="shared" si="3"/>
        <v>3.4395445524905739</v>
      </c>
      <c r="K50" s="3">
        <f t="shared" si="4"/>
        <v>3779.25</v>
      </c>
      <c r="L50" s="1">
        <f t="shared" si="5"/>
        <v>12998.898750000002</v>
      </c>
      <c r="M50" s="7">
        <f t="shared" si="6"/>
        <v>4332.9662500000013</v>
      </c>
    </row>
    <row r="51" spans="1:13" x14ac:dyDescent="0.3">
      <c r="A51" t="s">
        <v>63</v>
      </c>
      <c r="B51" t="s">
        <v>14</v>
      </c>
      <c r="C51" t="s">
        <v>52</v>
      </c>
      <c r="D51" t="s">
        <v>62</v>
      </c>
      <c r="E51" s="1">
        <v>2.4275000000000002</v>
      </c>
      <c r="F51" s="2">
        <v>4572.25</v>
      </c>
      <c r="G51" s="7">
        <f t="shared" si="0"/>
        <v>11099.136875</v>
      </c>
      <c r="H51" s="7">
        <f t="shared" si="1"/>
        <v>12.137500000000001</v>
      </c>
      <c r="I51" s="7">
        <f t="shared" si="2"/>
        <v>11111.274375000001</v>
      </c>
      <c r="J51" s="7">
        <f t="shared" si="3"/>
        <v>3.6452319016895403</v>
      </c>
      <c r="K51" s="3">
        <f t="shared" si="4"/>
        <v>4572.25</v>
      </c>
      <c r="L51" s="1">
        <f t="shared" si="5"/>
        <v>16666.911562500001</v>
      </c>
      <c r="M51" s="7">
        <f t="shared" si="6"/>
        <v>5555.6371875000004</v>
      </c>
    </row>
    <row r="52" spans="1:13" x14ac:dyDescent="0.3">
      <c r="A52" t="s">
        <v>63</v>
      </c>
      <c r="B52" t="s">
        <v>14</v>
      </c>
      <c r="C52" t="s">
        <v>52</v>
      </c>
      <c r="D52" t="s">
        <v>62</v>
      </c>
      <c r="E52" s="1">
        <v>2.29</v>
      </c>
      <c r="F52" s="2">
        <v>4206.75</v>
      </c>
      <c r="G52" s="7">
        <f t="shared" si="0"/>
        <v>9633.4575000000004</v>
      </c>
      <c r="H52" s="7">
        <f t="shared" si="1"/>
        <v>11.45</v>
      </c>
      <c r="I52" s="7">
        <f t="shared" si="2"/>
        <v>9644.9075000000012</v>
      </c>
      <c r="J52" s="7">
        <f t="shared" si="3"/>
        <v>3.4390827241932609</v>
      </c>
      <c r="K52" s="3">
        <f t="shared" si="4"/>
        <v>4206.75</v>
      </c>
      <c r="L52" s="1">
        <f t="shared" si="5"/>
        <v>14467.36125</v>
      </c>
      <c r="M52" s="7">
        <f t="shared" si="6"/>
        <v>4822.4537499999988</v>
      </c>
    </row>
    <row r="53" spans="1:13" x14ac:dyDescent="0.3">
      <c r="A53" t="s">
        <v>64</v>
      </c>
      <c r="B53" t="s">
        <v>14</v>
      </c>
      <c r="C53" t="s">
        <v>52</v>
      </c>
      <c r="D53" t="s">
        <v>62</v>
      </c>
      <c r="E53" s="1">
        <v>2.4275000000000002</v>
      </c>
      <c r="F53" s="2">
        <v>4657.75</v>
      </c>
      <c r="G53" s="7">
        <f t="shared" si="0"/>
        <v>11306.688125000001</v>
      </c>
      <c r="H53" s="7">
        <f t="shared" si="1"/>
        <v>12.137500000000001</v>
      </c>
      <c r="I53" s="7">
        <f t="shared" si="2"/>
        <v>11318.825625000001</v>
      </c>
      <c r="J53" s="7">
        <f t="shared" si="3"/>
        <v>3.6451588079008106</v>
      </c>
      <c r="K53" s="3">
        <f t="shared" si="4"/>
        <v>4657.75</v>
      </c>
      <c r="L53" s="1">
        <f t="shared" si="5"/>
        <v>16978.2384375</v>
      </c>
      <c r="M53" s="7">
        <f t="shared" si="6"/>
        <v>5659.4128124999988</v>
      </c>
    </row>
    <row r="54" spans="1:13" x14ac:dyDescent="0.3">
      <c r="A54" t="s">
        <v>64</v>
      </c>
      <c r="B54" t="s">
        <v>14</v>
      </c>
      <c r="C54" t="s">
        <v>52</v>
      </c>
      <c r="D54" t="s">
        <v>62</v>
      </c>
      <c r="E54" s="1">
        <v>2.29</v>
      </c>
      <c r="F54" s="2">
        <v>4590.25</v>
      </c>
      <c r="G54" s="7">
        <f t="shared" si="0"/>
        <v>10511.672500000001</v>
      </c>
      <c r="H54" s="7">
        <f t="shared" si="1"/>
        <v>11.45</v>
      </c>
      <c r="I54" s="7">
        <f t="shared" si="2"/>
        <v>10523.122500000001</v>
      </c>
      <c r="J54" s="7">
        <f t="shared" si="3"/>
        <v>3.438741626273079</v>
      </c>
      <c r="K54" s="3">
        <f t="shared" si="4"/>
        <v>4590.25</v>
      </c>
      <c r="L54" s="1">
        <f t="shared" si="5"/>
        <v>15784.68375</v>
      </c>
      <c r="M54" s="7">
        <f t="shared" si="6"/>
        <v>5261.5612499999988</v>
      </c>
    </row>
    <row r="55" spans="1:13" x14ac:dyDescent="0.3">
      <c r="A55" t="s">
        <v>65</v>
      </c>
      <c r="B55" t="s">
        <v>14</v>
      </c>
      <c r="C55" t="s">
        <v>52</v>
      </c>
      <c r="D55" t="s">
        <v>62</v>
      </c>
      <c r="E55" s="1">
        <v>3.9175</v>
      </c>
      <c r="F55" s="2">
        <v>4896.75</v>
      </c>
      <c r="G55" s="7">
        <f t="shared" si="0"/>
        <v>19183.018124999999</v>
      </c>
      <c r="H55" s="7">
        <f t="shared" si="1"/>
        <v>19.587499999999999</v>
      </c>
      <c r="I55" s="7">
        <f t="shared" si="2"/>
        <v>19202.605625</v>
      </c>
      <c r="J55" s="7">
        <f t="shared" si="3"/>
        <v>5.8822501531628113</v>
      </c>
      <c r="K55" s="3">
        <f t="shared" si="4"/>
        <v>4896.75</v>
      </c>
      <c r="L55" s="1">
        <f t="shared" si="5"/>
        <v>28803.908437499995</v>
      </c>
      <c r="M55" s="7">
        <f t="shared" si="6"/>
        <v>9601.3028124999946</v>
      </c>
    </row>
    <row r="56" spans="1:13" x14ac:dyDescent="0.3">
      <c r="A56" t="s">
        <v>66</v>
      </c>
      <c r="B56" t="s">
        <v>14</v>
      </c>
      <c r="C56" t="s">
        <v>52</v>
      </c>
      <c r="D56" t="s">
        <v>62</v>
      </c>
      <c r="E56" s="1">
        <v>3.9175</v>
      </c>
      <c r="F56" s="2">
        <v>4746.25</v>
      </c>
      <c r="G56" s="7">
        <f t="shared" si="0"/>
        <v>18593.434375000001</v>
      </c>
      <c r="H56" s="7">
        <f t="shared" si="1"/>
        <v>19.587499999999999</v>
      </c>
      <c r="I56" s="7">
        <f t="shared" si="2"/>
        <v>18613.021875000002</v>
      </c>
      <c r="J56" s="7">
        <f t="shared" si="3"/>
        <v>5.8824404134843302</v>
      </c>
      <c r="K56" s="3">
        <f t="shared" si="4"/>
        <v>4746.25</v>
      </c>
      <c r="L56" s="1">
        <f t="shared" si="5"/>
        <v>27919.532812500001</v>
      </c>
      <c r="M56" s="7">
        <f t="shared" si="6"/>
        <v>9306.5109374999993</v>
      </c>
    </row>
    <row r="57" spans="1:13" x14ac:dyDescent="0.3">
      <c r="A57" t="s">
        <v>67</v>
      </c>
      <c r="B57" t="s">
        <v>14</v>
      </c>
      <c r="C57" t="s">
        <v>52</v>
      </c>
      <c r="D57" t="s">
        <v>62</v>
      </c>
      <c r="E57" s="1">
        <v>3.9175</v>
      </c>
      <c r="F57" s="2">
        <v>4312.5</v>
      </c>
      <c r="G57" s="7">
        <f t="shared" si="0"/>
        <v>16894.21875</v>
      </c>
      <c r="H57" s="7">
        <f t="shared" si="1"/>
        <v>19.587499999999999</v>
      </c>
      <c r="I57" s="7">
        <f t="shared" si="2"/>
        <v>16913.806250000001</v>
      </c>
      <c r="J57" s="7">
        <f t="shared" si="3"/>
        <v>5.8830630434782609</v>
      </c>
      <c r="K57" s="3">
        <f t="shared" si="4"/>
        <v>4312.5</v>
      </c>
      <c r="L57" s="1">
        <f t="shared" si="5"/>
        <v>25370.709374999999</v>
      </c>
      <c r="M57" s="7">
        <f t="shared" si="6"/>
        <v>8456.9031249999971</v>
      </c>
    </row>
    <row r="58" spans="1:13" x14ac:dyDescent="0.3">
      <c r="A58" t="s">
        <v>68</v>
      </c>
      <c r="B58" t="s">
        <v>14</v>
      </c>
      <c r="C58" t="s">
        <v>52</v>
      </c>
      <c r="D58" t="s">
        <v>53</v>
      </c>
      <c r="E58" s="1">
        <v>6.5449999999999999</v>
      </c>
      <c r="F58" s="2">
        <v>4481</v>
      </c>
      <c r="G58" s="7">
        <f t="shared" si="0"/>
        <v>29328.145</v>
      </c>
      <c r="H58" s="7">
        <f t="shared" si="1"/>
        <v>32.725000000000001</v>
      </c>
      <c r="I58" s="7">
        <f t="shared" si="2"/>
        <v>29360.87</v>
      </c>
      <c r="J58" s="7">
        <f t="shared" si="3"/>
        <v>9.8284545860299026</v>
      </c>
      <c r="K58" s="3">
        <f t="shared" si="4"/>
        <v>4481</v>
      </c>
      <c r="L58" s="1">
        <f t="shared" si="5"/>
        <v>44041.304999999993</v>
      </c>
      <c r="M58" s="7">
        <f t="shared" si="6"/>
        <v>14680.434999999994</v>
      </c>
    </row>
    <row r="59" spans="1:13" x14ac:dyDescent="0.3">
      <c r="A59" t="s">
        <v>69</v>
      </c>
      <c r="B59" t="s">
        <v>14</v>
      </c>
      <c r="C59" t="s">
        <v>52</v>
      </c>
      <c r="D59" t="s">
        <v>53</v>
      </c>
      <c r="E59" s="1">
        <v>6.5449999999999999</v>
      </c>
      <c r="F59" s="2">
        <v>3828.5</v>
      </c>
      <c r="G59" s="7">
        <f t="shared" si="0"/>
        <v>25057.532500000001</v>
      </c>
      <c r="H59" s="7">
        <f t="shared" si="1"/>
        <v>32.725000000000001</v>
      </c>
      <c r="I59" s="7">
        <f t="shared" si="2"/>
        <v>25090.2575</v>
      </c>
      <c r="J59" s="7">
        <f t="shared" si="3"/>
        <v>9.830321601149274</v>
      </c>
      <c r="K59" s="3">
        <f t="shared" si="4"/>
        <v>3828.5</v>
      </c>
      <c r="L59" s="1">
        <f t="shared" si="5"/>
        <v>37635.386249999996</v>
      </c>
      <c r="M59" s="7">
        <f t="shared" si="6"/>
        <v>12545.128749999996</v>
      </c>
    </row>
    <row r="60" spans="1:13" x14ac:dyDescent="0.3">
      <c r="A60" t="s">
        <v>70</v>
      </c>
      <c r="B60" t="s">
        <v>14</v>
      </c>
      <c r="C60" t="s">
        <v>52</v>
      </c>
      <c r="D60" t="s">
        <v>53</v>
      </c>
      <c r="E60" s="1">
        <v>6.5449999999999999</v>
      </c>
      <c r="F60" s="2">
        <v>4142.75</v>
      </c>
      <c r="G60" s="7">
        <f t="shared" si="0"/>
        <v>27114.298749999998</v>
      </c>
      <c r="H60" s="7">
        <f t="shared" si="1"/>
        <v>32.725000000000001</v>
      </c>
      <c r="I60" s="7">
        <f t="shared" si="2"/>
        <v>27147.023749999997</v>
      </c>
      <c r="J60" s="7">
        <f t="shared" si="3"/>
        <v>9.829349013336552</v>
      </c>
      <c r="K60" s="3">
        <f t="shared" si="4"/>
        <v>4142.75</v>
      </c>
      <c r="L60" s="1">
        <f t="shared" si="5"/>
        <v>40720.535625000004</v>
      </c>
      <c r="M60" s="7">
        <f t="shared" si="6"/>
        <v>13573.511875000007</v>
      </c>
    </row>
    <row r="61" spans="1:13" x14ac:dyDescent="0.3">
      <c r="A61" t="s">
        <v>71</v>
      </c>
      <c r="B61" t="s">
        <v>14</v>
      </c>
      <c r="C61" t="s">
        <v>15</v>
      </c>
      <c r="D61" t="s">
        <v>72</v>
      </c>
      <c r="E61" s="1">
        <v>19.48</v>
      </c>
      <c r="F61" s="2">
        <v>4552.25</v>
      </c>
      <c r="G61" s="7">
        <f t="shared" si="0"/>
        <v>88677.83</v>
      </c>
      <c r="H61" s="7">
        <f t="shared" si="1"/>
        <v>97.4</v>
      </c>
      <c r="I61" s="7">
        <f t="shared" si="2"/>
        <v>88775.23</v>
      </c>
      <c r="J61" s="7">
        <f t="shared" si="3"/>
        <v>29.252094019440932</v>
      </c>
      <c r="K61" s="3">
        <f t="shared" si="4"/>
        <v>4552.25</v>
      </c>
      <c r="L61" s="1">
        <f t="shared" si="5"/>
        <v>133162.84499999997</v>
      </c>
      <c r="M61" s="7">
        <f t="shared" si="6"/>
        <v>44387.614999999976</v>
      </c>
    </row>
    <row r="62" spans="1:13" x14ac:dyDescent="0.3">
      <c r="A62" t="s">
        <v>73</v>
      </c>
      <c r="B62" t="s">
        <v>14</v>
      </c>
      <c r="C62" t="s">
        <v>15</v>
      </c>
      <c r="D62" t="s">
        <v>72</v>
      </c>
      <c r="E62" s="1">
        <v>28.47</v>
      </c>
      <c r="F62" s="2">
        <v>4809.25</v>
      </c>
      <c r="G62" s="7">
        <f t="shared" si="0"/>
        <v>136919.3475</v>
      </c>
      <c r="H62" s="7">
        <f t="shared" si="1"/>
        <v>142.35</v>
      </c>
      <c r="I62" s="7">
        <f t="shared" si="2"/>
        <v>137061.69750000001</v>
      </c>
      <c r="J62" s="7">
        <f t="shared" si="3"/>
        <v>42.749398814784008</v>
      </c>
      <c r="K62" s="3">
        <f t="shared" si="4"/>
        <v>4809.25</v>
      </c>
      <c r="L62" s="1">
        <f t="shared" si="5"/>
        <v>205592.54624999998</v>
      </c>
      <c r="M62" s="7">
        <f t="shared" si="6"/>
        <v>68530.848749999976</v>
      </c>
    </row>
    <row r="63" spans="1:13" x14ac:dyDescent="0.3">
      <c r="A63" t="s">
        <v>74</v>
      </c>
      <c r="B63" t="s">
        <v>14</v>
      </c>
      <c r="C63" t="s">
        <v>15</v>
      </c>
      <c r="D63" t="s">
        <v>72</v>
      </c>
      <c r="E63" s="1">
        <v>44.954999999999998</v>
      </c>
      <c r="F63" s="2">
        <v>4199.5</v>
      </c>
      <c r="G63" s="7">
        <f t="shared" si="0"/>
        <v>188788.52249999999</v>
      </c>
      <c r="H63" s="7">
        <f t="shared" si="1"/>
        <v>224.77499999999998</v>
      </c>
      <c r="I63" s="7">
        <f t="shared" si="2"/>
        <v>189013.29749999999</v>
      </c>
      <c r="J63" s="7">
        <f t="shared" si="3"/>
        <v>67.512786343612333</v>
      </c>
      <c r="K63" s="3">
        <f t="shared" si="4"/>
        <v>4199.5</v>
      </c>
      <c r="L63" s="1">
        <f t="shared" si="5"/>
        <v>283519.94624999998</v>
      </c>
      <c r="M63" s="7">
        <f t="shared" si="6"/>
        <v>94506.648749999993</v>
      </c>
    </row>
    <row r="64" spans="1:13" x14ac:dyDescent="0.3">
      <c r="A64" t="s">
        <v>75</v>
      </c>
      <c r="B64" t="s">
        <v>14</v>
      </c>
      <c r="C64" t="s">
        <v>24</v>
      </c>
      <c r="D64" t="s">
        <v>25</v>
      </c>
      <c r="E64" s="1">
        <v>85.912499999999994</v>
      </c>
      <c r="F64" s="2">
        <v>3987.25</v>
      </c>
      <c r="G64" s="7">
        <f t="shared" si="0"/>
        <v>342554.61562499998</v>
      </c>
      <c r="H64" s="7">
        <f t="shared" si="1"/>
        <v>429.5625</v>
      </c>
      <c r="I64" s="7">
        <f t="shared" si="2"/>
        <v>342984.17812499998</v>
      </c>
      <c r="J64" s="7">
        <f t="shared" si="3"/>
        <v>129.03035104081761</v>
      </c>
      <c r="K64" s="3">
        <f t="shared" si="4"/>
        <v>3987.25</v>
      </c>
      <c r="L64" s="1">
        <f t="shared" si="5"/>
        <v>514476.26718750002</v>
      </c>
      <c r="M64" s="7">
        <f t="shared" si="6"/>
        <v>171492.08906250005</v>
      </c>
    </row>
    <row r="65" spans="1:13" x14ac:dyDescent="0.3">
      <c r="A65" t="s">
        <v>76</v>
      </c>
      <c r="B65" t="s">
        <v>14</v>
      </c>
      <c r="C65" t="s">
        <v>24</v>
      </c>
      <c r="D65" t="s">
        <v>28</v>
      </c>
      <c r="E65" s="1">
        <v>73.644999999999996</v>
      </c>
      <c r="F65" s="2">
        <v>4553.25</v>
      </c>
      <c r="G65" s="7">
        <f t="shared" si="0"/>
        <v>335324.09625</v>
      </c>
      <c r="H65" s="7">
        <f t="shared" si="1"/>
        <v>368.22499999999997</v>
      </c>
      <c r="I65" s="7">
        <f t="shared" si="2"/>
        <v>335692.32124999998</v>
      </c>
      <c r="J65" s="7">
        <f t="shared" si="3"/>
        <v>110.58880620985011</v>
      </c>
      <c r="K65" s="3">
        <f t="shared" si="4"/>
        <v>4553.25</v>
      </c>
      <c r="L65" s="1">
        <f t="shared" si="5"/>
        <v>503538.481875</v>
      </c>
      <c r="M65" s="7">
        <f t="shared" si="6"/>
        <v>167846.16062500002</v>
      </c>
    </row>
    <row r="66" spans="1:13" x14ac:dyDescent="0.3">
      <c r="A66" t="s">
        <v>77</v>
      </c>
      <c r="B66" t="s">
        <v>14</v>
      </c>
      <c r="C66" t="s">
        <v>24</v>
      </c>
      <c r="D66" t="s">
        <v>25</v>
      </c>
      <c r="E66" s="1">
        <v>85.912499999999994</v>
      </c>
      <c r="F66" s="2">
        <v>4154</v>
      </c>
      <c r="G66" s="7">
        <f t="shared" si="0"/>
        <v>356880.52499999997</v>
      </c>
      <c r="H66" s="7">
        <f t="shared" si="1"/>
        <v>429.5625</v>
      </c>
      <c r="I66" s="7">
        <f t="shared" si="2"/>
        <v>357310.08749999997</v>
      </c>
      <c r="J66" s="7">
        <f t="shared" si="3"/>
        <v>129.02386404670196</v>
      </c>
      <c r="K66" s="3">
        <f t="shared" si="4"/>
        <v>4154</v>
      </c>
      <c r="L66" s="1">
        <f t="shared" si="5"/>
        <v>535965.13124999998</v>
      </c>
      <c r="M66" s="7">
        <f t="shared" si="6"/>
        <v>178655.04375000001</v>
      </c>
    </row>
    <row r="67" spans="1:13" x14ac:dyDescent="0.3">
      <c r="A67" t="s">
        <v>78</v>
      </c>
      <c r="B67" t="s">
        <v>14</v>
      </c>
      <c r="C67" t="s">
        <v>24</v>
      </c>
      <c r="D67" t="s">
        <v>25</v>
      </c>
      <c r="E67" s="1">
        <v>85.912499999999994</v>
      </c>
      <c r="F67" s="2">
        <v>4309.75</v>
      </c>
      <c r="G67" s="7">
        <f t="shared" si="0"/>
        <v>370261.39687499998</v>
      </c>
      <c r="H67" s="7">
        <f t="shared" si="1"/>
        <v>429.5625</v>
      </c>
      <c r="I67" s="7">
        <f t="shared" si="2"/>
        <v>370690.95937499998</v>
      </c>
      <c r="J67" s="7">
        <f t="shared" si="3"/>
        <v>129.01825838215674</v>
      </c>
      <c r="K67" s="3">
        <f t="shared" si="4"/>
        <v>4309.75</v>
      </c>
      <c r="L67" s="1">
        <f t="shared" si="5"/>
        <v>556036.43906250002</v>
      </c>
      <c r="M67" s="7">
        <f t="shared" si="6"/>
        <v>185345.47968750005</v>
      </c>
    </row>
    <row r="68" spans="1:13" x14ac:dyDescent="0.3">
      <c r="A68" t="s">
        <v>79</v>
      </c>
      <c r="B68" t="s">
        <v>14</v>
      </c>
      <c r="C68" t="s">
        <v>24</v>
      </c>
      <c r="D68" t="s">
        <v>25</v>
      </c>
      <c r="E68" s="1">
        <v>85.912499999999994</v>
      </c>
      <c r="F68" s="2">
        <v>4467.75</v>
      </c>
      <c r="G68" s="7">
        <f t="shared" si="0"/>
        <v>383835.57187499997</v>
      </c>
      <c r="H68" s="7">
        <f t="shared" si="1"/>
        <v>429.5625</v>
      </c>
      <c r="I68" s="7">
        <f t="shared" si="2"/>
        <v>384265.13437499997</v>
      </c>
      <c r="J68" s="7">
        <f t="shared" si="3"/>
        <v>129.01297108443848</v>
      </c>
      <c r="K68" s="3">
        <f t="shared" si="4"/>
        <v>4467.75</v>
      </c>
      <c r="L68" s="1">
        <f t="shared" si="5"/>
        <v>576397.70156249998</v>
      </c>
      <c r="M68" s="7">
        <f t="shared" si="6"/>
        <v>192132.56718750001</v>
      </c>
    </row>
    <row r="69" spans="1:13" x14ac:dyDescent="0.3">
      <c r="A69" t="s">
        <v>80</v>
      </c>
      <c r="B69" t="s">
        <v>81</v>
      </c>
      <c r="C69" t="s">
        <v>15</v>
      </c>
      <c r="D69" t="s">
        <v>16</v>
      </c>
      <c r="E69" s="1">
        <v>217.1575</v>
      </c>
      <c r="F69" s="2">
        <v>3935.5</v>
      </c>
      <c r="G69" s="7">
        <f t="shared" ref="G69:G132" si="7">E69*F69</f>
        <v>854623.34124999994</v>
      </c>
      <c r="H69" s="7">
        <f t="shared" ref="H69:H132" si="8">E69*$P$1</f>
        <v>1085.7874999999999</v>
      </c>
      <c r="I69" s="7">
        <f t="shared" ref="I69:I132" si="9">G69+H69</f>
        <v>855709.12874999992</v>
      </c>
      <c r="J69" s="7">
        <f t="shared" ref="J69:J132" si="10">E69+(H69/F69)+(E69+(H69/F69))*0.5</f>
        <v>326.15009353957566</v>
      </c>
      <c r="K69" s="3">
        <f t="shared" ref="K69:K132" si="11">F69</f>
        <v>3935.5</v>
      </c>
      <c r="L69" s="1">
        <f t="shared" ref="L69:L132" si="12">K69*J69</f>
        <v>1283563.693125</v>
      </c>
      <c r="M69" s="7">
        <f t="shared" ref="M69:M132" si="13">L69-I69</f>
        <v>427854.56437500007</v>
      </c>
    </row>
    <row r="70" spans="1:13" x14ac:dyDescent="0.3">
      <c r="A70" t="s">
        <v>82</v>
      </c>
      <c r="B70" t="s">
        <v>81</v>
      </c>
      <c r="C70" t="s">
        <v>18</v>
      </c>
      <c r="D70" t="s">
        <v>19</v>
      </c>
      <c r="E70" s="1">
        <v>3.0074999999999998</v>
      </c>
      <c r="F70" s="2">
        <v>4949</v>
      </c>
      <c r="G70" s="7">
        <f t="shared" si="7"/>
        <v>14884.117499999998</v>
      </c>
      <c r="H70" s="7">
        <f t="shared" si="8"/>
        <v>15.0375</v>
      </c>
      <c r="I70" s="7">
        <f t="shared" si="9"/>
        <v>14899.154999999999</v>
      </c>
      <c r="J70" s="7">
        <f t="shared" si="10"/>
        <v>4.5158077389371591</v>
      </c>
      <c r="K70" s="3">
        <f t="shared" si="11"/>
        <v>4949</v>
      </c>
      <c r="L70" s="1">
        <f t="shared" si="12"/>
        <v>22348.732500000002</v>
      </c>
      <c r="M70" s="7">
        <f t="shared" si="13"/>
        <v>7449.5775000000031</v>
      </c>
    </row>
    <row r="71" spans="1:13" x14ac:dyDescent="0.3">
      <c r="A71" t="s">
        <v>83</v>
      </c>
      <c r="B71" t="s">
        <v>84</v>
      </c>
      <c r="C71" t="s">
        <v>18</v>
      </c>
      <c r="D71" t="s">
        <v>19</v>
      </c>
      <c r="E71" s="1">
        <v>3.0074999999999998</v>
      </c>
      <c r="F71" s="2">
        <v>4394.25</v>
      </c>
      <c r="G71" s="7">
        <f t="shared" si="7"/>
        <v>13215.706875</v>
      </c>
      <c r="H71" s="7">
        <f t="shared" si="8"/>
        <v>15.0375</v>
      </c>
      <c r="I71" s="7">
        <f t="shared" si="9"/>
        <v>13230.744375</v>
      </c>
      <c r="J71" s="7">
        <f t="shared" si="10"/>
        <v>4.5163831285202249</v>
      </c>
      <c r="K71" s="3">
        <f t="shared" si="11"/>
        <v>4394.25</v>
      </c>
      <c r="L71" s="1">
        <f t="shared" si="12"/>
        <v>19846.116562499999</v>
      </c>
      <c r="M71" s="7">
        <f t="shared" si="13"/>
        <v>6615.3721874999992</v>
      </c>
    </row>
    <row r="72" spans="1:13" x14ac:dyDescent="0.3">
      <c r="A72" t="s">
        <v>85</v>
      </c>
      <c r="B72" t="s">
        <v>86</v>
      </c>
      <c r="C72" t="s">
        <v>52</v>
      </c>
      <c r="D72" t="s">
        <v>87</v>
      </c>
      <c r="E72" s="1">
        <v>0.85</v>
      </c>
      <c r="F72" s="2">
        <v>3811.75</v>
      </c>
      <c r="G72" s="7">
        <f t="shared" si="7"/>
        <v>3239.9874999999997</v>
      </c>
      <c r="H72" s="7">
        <f t="shared" si="8"/>
        <v>4.25</v>
      </c>
      <c r="I72" s="7">
        <f t="shared" si="9"/>
        <v>3244.2374999999997</v>
      </c>
      <c r="J72" s="7">
        <f t="shared" si="10"/>
        <v>1.2766724601560964</v>
      </c>
      <c r="K72" s="3">
        <f t="shared" si="11"/>
        <v>3811.75</v>
      </c>
      <c r="L72" s="1">
        <f t="shared" si="12"/>
        <v>4866.3562500000007</v>
      </c>
      <c r="M72" s="7">
        <f t="shared" si="13"/>
        <v>1622.118750000001</v>
      </c>
    </row>
    <row r="73" spans="1:13" x14ac:dyDescent="0.3">
      <c r="A73" t="s">
        <v>88</v>
      </c>
      <c r="B73" t="s">
        <v>86</v>
      </c>
      <c r="C73" t="s">
        <v>52</v>
      </c>
      <c r="D73" t="s">
        <v>87</v>
      </c>
      <c r="E73" s="1">
        <v>0.85</v>
      </c>
      <c r="F73" s="2">
        <v>4125.25</v>
      </c>
      <c r="G73" s="7">
        <f t="shared" si="7"/>
        <v>3506.4625000000001</v>
      </c>
      <c r="H73" s="7">
        <f t="shared" si="8"/>
        <v>4.25</v>
      </c>
      <c r="I73" s="7">
        <f t="shared" si="9"/>
        <v>3510.7125000000001</v>
      </c>
      <c r="J73" s="7">
        <f t="shared" si="10"/>
        <v>1.2765453608872188</v>
      </c>
      <c r="K73" s="3">
        <f t="shared" si="11"/>
        <v>4125.25</v>
      </c>
      <c r="L73" s="1">
        <f t="shared" si="12"/>
        <v>5266.0687499999995</v>
      </c>
      <c r="M73" s="7">
        <f t="shared" si="13"/>
        <v>1755.3562499999994</v>
      </c>
    </row>
    <row r="74" spans="1:13" x14ac:dyDescent="0.3">
      <c r="A74" t="s">
        <v>83</v>
      </c>
      <c r="B74" t="s">
        <v>84</v>
      </c>
      <c r="C74" t="s">
        <v>18</v>
      </c>
      <c r="D74" t="s">
        <v>19</v>
      </c>
      <c r="E74" s="1">
        <v>3.47</v>
      </c>
      <c r="F74" s="2">
        <v>4326.75</v>
      </c>
      <c r="G74" s="7">
        <f t="shared" si="7"/>
        <v>15013.8225</v>
      </c>
      <c r="H74" s="7">
        <f t="shared" si="8"/>
        <v>17.350000000000001</v>
      </c>
      <c r="I74" s="7">
        <f t="shared" si="9"/>
        <v>15031.172500000001</v>
      </c>
      <c r="J74" s="7">
        <f t="shared" si="10"/>
        <v>5.2110149072629577</v>
      </c>
      <c r="K74" s="3">
        <f t="shared" si="11"/>
        <v>4326.75</v>
      </c>
      <c r="L74" s="1">
        <f t="shared" si="12"/>
        <v>22546.758750000001</v>
      </c>
      <c r="M74" s="7">
        <f t="shared" si="13"/>
        <v>7515.5862500000003</v>
      </c>
    </row>
    <row r="75" spans="1:13" x14ac:dyDescent="0.3">
      <c r="A75" t="s">
        <v>89</v>
      </c>
      <c r="B75" t="s">
        <v>90</v>
      </c>
      <c r="C75" t="s">
        <v>52</v>
      </c>
      <c r="D75" t="s">
        <v>91</v>
      </c>
      <c r="E75" s="1">
        <v>1.4275</v>
      </c>
      <c r="F75" s="2">
        <v>4072.25</v>
      </c>
      <c r="G75" s="7">
        <f t="shared" si="7"/>
        <v>5813.1368750000001</v>
      </c>
      <c r="H75" s="7">
        <f t="shared" si="8"/>
        <v>7.1375000000000002</v>
      </c>
      <c r="I75" s="7">
        <f t="shared" si="9"/>
        <v>5820.274375</v>
      </c>
      <c r="J75" s="7">
        <f t="shared" si="10"/>
        <v>2.1438790748357786</v>
      </c>
      <c r="K75" s="3">
        <f t="shared" si="11"/>
        <v>4072.25</v>
      </c>
      <c r="L75" s="1">
        <f t="shared" si="12"/>
        <v>8730.4115624999995</v>
      </c>
      <c r="M75" s="7">
        <f t="shared" si="13"/>
        <v>2910.1371874999995</v>
      </c>
    </row>
    <row r="76" spans="1:13" x14ac:dyDescent="0.3">
      <c r="A76" t="s">
        <v>92</v>
      </c>
      <c r="B76" t="s">
        <v>90</v>
      </c>
      <c r="C76" t="s">
        <v>52</v>
      </c>
      <c r="D76" t="s">
        <v>93</v>
      </c>
      <c r="E76" s="1">
        <v>7.93</v>
      </c>
      <c r="F76" s="2">
        <v>4452</v>
      </c>
      <c r="G76" s="7">
        <f t="shared" si="7"/>
        <v>35304.36</v>
      </c>
      <c r="H76" s="7">
        <f t="shared" si="8"/>
        <v>39.65</v>
      </c>
      <c r="I76" s="7">
        <f t="shared" si="9"/>
        <v>35344.01</v>
      </c>
      <c r="J76" s="7">
        <f t="shared" si="10"/>
        <v>11.908359164420485</v>
      </c>
      <c r="K76" s="3">
        <f t="shared" si="11"/>
        <v>4452</v>
      </c>
      <c r="L76" s="1">
        <f t="shared" si="12"/>
        <v>53016.014999999999</v>
      </c>
      <c r="M76" s="7">
        <f t="shared" si="13"/>
        <v>17672.004999999997</v>
      </c>
    </row>
    <row r="77" spans="1:13" x14ac:dyDescent="0.3">
      <c r="A77" t="s">
        <v>94</v>
      </c>
      <c r="B77" t="s">
        <v>90</v>
      </c>
      <c r="C77" t="s">
        <v>52</v>
      </c>
      <c r="D77" t="s">
        <v>93</v>
      </c>
      <c r="E77" s="1">
        <v>7.93</v>
      </c>
      <c r="F77" s="2">
        <v>4171</v>
      </c>
      <c r="G77" s="7">
        <f t="shared" si="7"/>
        <v>33076.03</v>
      </c>
      <c r="H77" s="7">
        <f t="shared" si="8"/>
        <v>39.65</v>
      </c>
      <c r="I77" s="7">
        <f t="shared" si="9"/>
        <v>33115.68</v>
      </c>
      <c r="J77" s="7">
        <f t="shared" si="10"/>
        <v>11.909259170462718</v>
      </c>
      <c r="K77" s="3">
        <f t="shared" si="11"/>
        <v>4171</v>
      </c>
      <c r="L77" s="1">
        <f t="shared" si="12"/>
        <v>49673.52</v>
      </c>
      <c r="M77" s="7">
        <f t="shared" si="13"/>
        <v>16557.839999999997</v>
      </c>
    </row>
    <row r="78" spans="1:13" x14ac:dyDescent="0.3">
      <c r="A78" t="s">
        <v>95</v>
      </c>
      <c r="B78" t="s">
        <v>90</v>
      </c>
      <c r="C78" t="s">
        <v>52</v>
      </c>
      <c r="D78" t="s">
        <v>93</v>
      </c>
      <c r="E78" s="1">
        <v>7.93</v>
      </c>
      <c r="F78" s="2">
        <v>4753.75</v>
      </c>
      <c r="G78" s="7">
        <f t="shared" si="7"/>
        <v>37697.237499999996</v>
      </c>
      <c r="H78" s="7">
        <f t="shared" si="8"/>
        <v>39.65</v>
      </c>
      <c r="I78" s="7">
        <f t="shared" si="9"/>
        <v>37736.887499999997</v>
      </c>
      <c r="J78" s="7">
        <f t="shared" si="10"/>
        <v>11.907511175387851</v>
      </c>
      <c r="K78" s="3">
        <f t="shared" si="11"/>
        <v>4753.75</v>
      </c>
      <c r="L78" s="1">
        <f t="shared" si="12"/>
        <v>56605.331249999996</v>
      </c>
      <c r="M78" s="7">
        <f t="shared" si="13"/>
        <v>18868.443749999999</v>
      </c>
    </row>
    <row r="79" spans="1:13" x14ac:dyDescent="0.3">
      <c r="A79" t="s">
        <v>96</v>
      </c>
      <c r="B79" t="s">
        <v>90</v>
      </c>
      <c r="C79" t="s">
        <v>52</v>
      </c>
      <c r="D79" t="s">
        <v>93</v>
      </c>
      <c r="E79" s="1">
        <v>7.93</v>
      </c>
      <c r="F79" s="2">
        <v>3819.5</v>
      </c>
      <c r="G79" s="7">
        <f t="shared" si="7"/>
        <v>30288.634999999998</v>
      </c>
      <c r="H79" s="7">
        <f t="shared" si="8"/>
        <v>39.65</v>
      </c>
      <c r="I79" s="7">
        <f t="shared" si="9"/>
        <v>30328.285</v>
      </c>
      <c r="J79" s="7">
        <f t="shared" si="10"/>
        <v>11.910571409870402</v>
      </c>
      <c r="K79" s="3">
        <f t="shared" si="11"/>
        <v>3819.5</v>
      </c>
      <c r="L79" s="1">
        <f t="shared" si="12"/>
        <v>45492.427499999998</v>
      </c>
      <c r="M79" s="7">
        <f t="shared" si="13"/>
        <v>15164.142499999998</v>
      </c>
    </row>
    <row r="80" spans="1:13" x14ac:dyDescent="0.3">
      <c r="A80" t="s">
        <v>97</v>
      </c>
      <c r="B80" t="s">
        <v>98</v>
      </c>
      <c r="C80" t="s">
        <v>15</v>
      </c>
      <c r="D80" t="s">
        <v>22</v>
      </c>
      <c r="E80" s="1">
        <v>155.96</v>
      </c>
      <c r="F80" s="2">
        <v>4528</v>
      </c>
      <c r="G80" s="7">
        <f t="shared" si="7"/>
        <v>706186.88</v>
      </c>
      <c r="H80" s="7">
        <f t="shared" si="8"/>
        <v>779.80000000000007</v>
      </c>
      <c r="I80" s="7">
        <f t="shared" si="9"/>
        <v>706966.68</v>
      </c>
      <c r="J80" s="7">
        <f t="shared" si="10"/>
        <v>234.19832597173144</v>
      </c>
      <c r="K80" s="3">
        <f t="shared" si="11"/>
        <v>4528</v>
      </c>
      <c r="L80" s="1">
        <f t="shared" si="12"/>
        <v>1060450.02</v>
      </c>
      <c r="M80" s="7">
        <f t="shared" si="13"/>
        <v>353483.33999999997</v>
      </c>
    </row>
    <row r="81" spans="1:13" x14ac:dyDescent="0.3">
      <c r="A81" t="s">
        <v>99</v>
      </c>
      <c r="B81" t="s">
        <v>98</v>
      </c>
      <c r="C81" t="s">
        <v>15</v>
      </c>
      <c r="D81" t="s">
        <v>22</v>
      </c>
      <c r="E81" s="1">
        <v>176.70249999999999</v>
      </c>
      <c r="F81" s="2">
        <v>3996.25</v>
      </c>
      <c r="G81" s="7">
        <f t="shared" si="7"/>
        <v>706147.36562499998</v>
      </c>
      <c r="H81" s="7">
        <f t="shared" si="8"/>
        <v>883.51249999999993</v>
      </c>
      <c r="I81" s="7">
        <f t="shared" si="9"/>
        <v>707030.87812499993</v>
      </c>
      <c r="J81" s="7">
        <f t="shared" si="10"/>
        <v>265.38537808883325</v>
      </c>
      <c r="K81" s="3">
        <f t="shared" si="11"/>
        <v>3996.25</v>
      </c>
      <c r="L81" s="1">
        <f t="shared" si="12"/>
        <v>1060546.3171875</v>
      </c>
      <c r="M81" s="7">
        <f t="shared" si="13"/>
        <v>353515.43906250002</v>
      </c>
    </row>
    <row r="82" spans="1:13" x14ac:dyDescent="0.3">
      <c r="A82" t="s">
        <v>100</v>
      </c>
      <c r="B82" t="s">
        <v>98</v>
      </c>
      <c r="C82" t="s">
        <v>15</v>
      </c>
      <c r="D82" t="s">
        <v>22</v>
      </c>
      <c r="E82" s="1">
        <v>176.70249999999999</v>
      </c>
      <c r="F82" s="2">
        <v>4064.25</v>
      </c>
      <c r="G82" s="7">
        <f t="shared" si="7"/>
        <v>718163.135625</v>
      </c>
      <c r="H82" s="7">
        <f t="shared" si="8"/>
        <v>883.51249999999993</v>
      </c>
      <c r="I82" s="7">
        <f t="shared" si="9"/>
        <v>719046.64812499995</v>
      </c>
      <c r="J82" s="7">
        <f t="shared" si="10"/>
        <v>265.37982953496953</v>
      </c>
      <c r="K82" s="3">
        <f t="shared" si="11"/>
        <v>4064.25</v>
      </c>
      <c r="L82" s="1">
        <f t="shared" si="12"/>
        <v>1078569.9721875</v>
      </c>
      <c r="M82" s="7">
        <f t="shared" si="13"/>
        <v>359523.32406250003</v>
      </c>
    </row>
    <row r="83" spans="1:13" x14ac:dyDescent="0.3">
      <c r="A83" t="s">
        <v>101</v>
      </c>
      <c r="B83" t="s">
        <v>98</v>
      </c>
      <c r="C83" t="s">
        <v>15</v>
      </c>
      <c r="D83" t="s">
        <v>22</v>
      </c>
      <c r="E83" s="1">
        <v>155.96</v>
      </c>
      <c r="F83" s="2">
        <v>4599.5</v>
      </c>
      <c r="G83" s="7">
        <f t="shared" si="7"/>
        <v>717338.02</v>
      </c>
      <c r="H83" s="7">
        <f t="shared" si="8"/>
        <v>779.80000000000007</v>
      </c>
      <c r="I83" s="7">
        <f t="shared" si="9"/>
        <v>718117.82000000007</v>
      </c>
      <c r="J83" s="7">
        <f t="shared" si="10"/>
        <v>234.19431025111427</v>
      </c>
      <c r="K83" s="3">
        <f t="shared" si="11"/>
        <v>4599.5</v>
      </c>
      <c r="L83" s="1">
        <f t="shared" si="12"/>
        <v>1077176.7300000002</v>
      </c>
      <c r="M83" s="7">
        <f t="shared" si="13"/>
        <v>359058.91000000015</v>
      </c>
    </row>
    <row r="84" spans="1:13" x14ac:dyDescent="0.3">
      <c r="A84" t="s">
        <v>102</v>
      </c>
      <c r="B84" t="s">
        <v>98</v>
      </c>
      <c r="C84" t="s">
        <v>15</v>
      </c>
      <c r="D84" t="s">
        <v>22</v>
      </c>
      <c r="E84" s="1">
        <v>155.96</v>
      </c>
      <c r="F84" s="2">
        <v>4392.25</v>
      </c>
      <c r="G84" s="7">
        <f t="shared" si="7"/>
        <v>685015.31</v>
      </c>
      <c r="H84" s="7">
        <f t="shared" si="8"/>
        <v>779.80000000000007</v>
      </c>
      <c r="I84" s="7">
        <f t="shared" si="9"/>
        <v>685795.1100000001</v>
      </c>
      <c r="J84" s="7">
        <f t="shared" si="10"/>
        <v>234.20630997780182</v>
      </c>
      <c r="K84" s="3">
        <f t="shared" si="11"/>
        <v>4392.25</v>
      </c>
      <c r="L84" s="1">
        <f t="shared" si="12"/>
        <v>1028692.665</v>
      </c>
      <c r="M84" s="7">
        <f t="shared" si="13"/>
        <v>342897.55499999993</v>
      </c>
    </row>
    <row r="85" spans="1:13" x14ac:dyDescent="0.3">
      <c r="A85" t="s">
        <v>103</v>
      </c>
      <c r="B85" t="s">
        <v>81</v>
      </c>
      <c r="C85" t="s">
        <v>24</v>
      </c>
      <c r="D85" t="s">
        <v>25</v>
      </c>
      <c r="E85" s="1">
        <v>542.82249999999999</v>
      </c>
      <c r="F85" s="2">
        <v>3811.25</v>
      </c>
      <c r="G85" s="7">
        <f t="shared" si="7"/>
        <v>2068832.253125</v>
      </c>
      <c r="H85" s="7">
        <f t="shared" si="8"/>
        <v>2714.1125000000002</v>
      </c>
      <c r="I85" s="7">
        <f t="shared" si="9"/>
        <v>2071546.3656250001</v>
      </c>
      <c r="J85" s="7">
        <f t="shared" si="10"/>
        <v>815.30194776976055</v>
      </c>
      <c r="K85" s="3">
        <f t="shared" si="11"/>
        <v>3811.25</v>
      </c>
      <c r="L85" s="1">
        <f t="shared" si="12"/>
        <v>3107319.5484374999</v>
      </c>
      <c r="M85" s="7">
        <f t="shared" si="13"/>
        <v>1035773.1828124998</v>
      </c>
    </row>
    <row r="86" spans="1:13" x14ac:dyDescent="0.3">
      <c r="A86" t="s">
        <v>104</v>
      </c>
      <c r="B86" t="s">
        <v>81</v>
      </c>
      <c r="C86" t="s">
        <v>24</v>
      </c>
      <c r="D86" t="s">
        <v>25</v>
      </c>
      <c r="E86" s="1">
        <v>542.82249999999999</v>
      </c>
      <c r="F86" s="2">
        <v>4471</v>
      </c>
      <c r="G86" s="7">
        <f t="shared" si="7"/>
        <v>2426959.3975</v>
      </c>
      <c r="H86" s="7">
        <f t="shared" si="8"/>
        <v>2714.1125000000002</v>
      </c>
      <c r="I86" s="7">
        <f t="shared" si="9"/>
        <v>2429673.5099999998</v>
      </c>
      <c r="J86" s="7">
        <f t="shared" si="10"/>
        <v>815.14432229926194</v>
      </c>
      <c r="K86" s="3">
        <f t="shared" si="11"/>
        <v>4471</v>
      </c>
      <c r="L86" s="1">
        <f t="shared" si="12"/>
        <v>3644510.2650000001</v>
      </c>
      <c r="M86" s="7">
        <f t="shared" si="13"/>
        <v>1214836.7550000004</v>
      </c>
    </row>
    <row r="87" spans="1:13" x14ac:dyDescent="0.3">
      <c r="A87" t="s">
        <v>105</v>
      </c>
      <c r="B87" t="s">
        <v>81</v>
      </c>
      <c r="C87" t="s">
        <v>24</v>
      </c>
      <c r="D87" t="s">
        <v>25</v>
      </c>
      <c r="E87" s="1">
        <v>542.82249999999999</v>
      </c>
      <c r="F87" s="2">
        <v>4793.75</v>
      </c>
      <c r="G87" s="7">
        <f t="shared" si="7"/>
        <v>2602155.359375</v>
      </c>
      <c r="H87" s="7">
        <f t="shared" si="8"/>
        <v>2714.1125000000002</v>
      </c>
      <c r="I87" s="7">
        <f t="shared" si="9"/>
        <v>2604869.4718749998</v>
      </c>
      <c r="J87" s="7">
        <f t="shared" si="10"/>
        <v>815.08301597131685</v>
      </c>
      <c r="K87" s="3">
        <f t="shared" si="11"/>
        <v>4793.75</v>
      </c>
      <c r="L87" s="1">
        <f t="shared" si="12"/>
        <v>3907304.2078125002</v>
      </c>
      <c r="M87" s="7">
        <f t="shared" si="13"/>
        <v>1302434.7359375004</v>
      </c>
    </row>
    <row r="88" spans="1:13" x14ac:dyDescent="0.3">
      <c r="A88" t="s">
        <v>106</v>
      </c>
      <c r="B88" t="s">
        <v>98</v>
      </c>
      <c r="C88" t="s">
        <v>24</v>
      </c>
      <c r="D88" t="s">
        <v>28</v>
      </c>
      <c r="E88" s="1">
        <v>478.03750000000002</v>
      </c>
      <c r="F88" s="2">
        <v>3850.25</v>
      </c>
      <c r="G88" s="7">
        <f t="shared" si="7"/>
        <v>1840563.8843750001</v>
      </c>
      <c r="H88" s="7">
        <f t="shared" si="8"/>
        <v>2390.1875</v>
      </c>
      <c r="I88" s="7">
        <f t="shared" si="9"/>
        <v>1842954.0718750001</v>
      </c>
      <c r="J88" s="7">
        <f t="shared" si="10"/>
        <v>717.9874314167912</v>
      </c>
      <c r="K88" s="3">
        <f t="shared" si="11"/>
        <v>3850.25</v>
      </c>
      <c r="L88" s="1">
        <f t="shared" si="12"/>
        <v>2764431.1078125001</v>
      </c>
      <c r="M88" s="7">
        <f t="shared" si="13"/>
        <v>921477.03593749995</v>
      </c>
    </row>
    <row r="89" spans="1:13" x14ac:dyDescent="0.3">
      <c r="A89" t="s">
        <v>107</v>
      </c>
      <c r="B89" t="s">
        <v>98</v>
      </c>
      <c r="C89" t="s">
        <v>24</v>
      </c>
      <c r="D89" t="s">
        <v>28</v>
      </c>
      <c r="E89" s="1">
        <v>478.03750000000002</v>
      </c>
      <c r="F89" s="2">
        <v>4690.75</v>
      </c>
      <c r="G89" s="7">
        <f t="shared" si="7"/>
        <v>2242354.4031250002</v>
      </c>
      <c r="H89" s="7">
        <f t="shared" si="8"/>
        <v>2390.1875</v>
      </c>
      <c r="I89" s="7">
        <f t="shared" si="9"/>
        <v>2244744.5906250002</v>
      </c>
      <c r="J89" s="7">
        <f t="shared" si="10"/>
        <v>717.82058006448869</v>
      </c>
      <c r="K89" s="3">
        <f t="shared" si="11"/>
        <v>4690.75</v>
      </c>
      <c r="L89" s="1">
        <f t="shared" si="12"/>
        <v>3367116.8859375003</v>
      </c>
      <c r="M89" s="7">
        <f t="shared" si="13"/>
        <v>1122372.2953125001</v>
      </c>
    </row>
    <row r="90" spans="1:13" x14ac:dyDescent="0.3">
      <c r="A90" t="s">
        <v>108</v>
      </c>
      <c r="B90" t="s">
        <v>98</v>
      </c>
      <c r="C90" t="s">
        <v>24</v>
      </c>
      <c r="D90" t="s">
        <v>28</v>
      </c>
      <c r="E90" s="1">
        <v>478.03750000000002</v>
      </c>
      <c r="F90" s="2">
        <v>4288.5</v>
      </c>
      <c r="G90" s="7">
        <f t="shared" si="7"/>
        <v>2050063.8187500001</v>
      </c>
      <c r="H90" s="7">
        <f t="shared" si="8"/>
        <v>2390.1875</v>
      </c>
      <c r="I90" s="7">
        <f t="shared" si="9"/>
        <v>2052454.0062500001</v>
      </c>
      <c r="J90" s="7">
        <f t="shared" si="10"/>
        <v>717.89227221056319</v>
      </c>
      <c r="K90" s="3">
        <f t="shared" si="11"/>
        <v>4288.5</v>
      </c>
      <c r="L90" s="1">
        <f t="shared" si="12"/>
        <v>3078681.0093750004</v>
      </c>
      <c r="M90" s="7">
        <f t="shared" si="13"/>
        <v>1026227.0031250003</v>
      </c>
    </row>
    <row r="91" spans="1:13" x14ac:dyDescent="0.3">
      <c r="A91" t="s">
        <v>109</v>
      </c>
      <c r="B91" t="s">
        <v>81</v>
      </c>
      <c r="C91" t="s">
        <v>24</v>
      </c>
      <c r="D91" t="s">
        <v>25</v>
      </c>
      <c r="E91" s="1">
        <v>379.69749999999999</v>
      </c>
      <c r="F91" s="2">
        <v>4256.75</v>
      </c>
      <c r="G91" s="7">
        <f t="shared" si="7"/>
        <v>1616277.3331249999</v>
      </c>
      <c r="H91" s="7">
        <f t="shared" si="8"/>
        <v>1898.4875</v>
      </c>
      <c r="I91" s="7">
        <f t="shared" si="9"/>
        <v>1618175.8206249999</v>
      </c>
      <c r="J91" s="7">
        <f t="shared" si="10"/>
        <v>570.21524189522529</v>
      </c>
      <c r="K91" s="3">
        <f t="shared" si="11"/>
        <v>4256.75</v>
      </c>
      <c r="L91" s="1">
        <f t="shared" si="12"/>
        <v>2427263.7309375005</v>
      </c>
      <c r="M91" s="7">
        <f t="shared" si="13"/>
        <v>809087.91031250055</v>
      </c>
    </row>
    <row r="92" spans="1:13" x14ac:dyDescent="0.3">
      <c r="A92" t="s">
        <v>110</v>
      </c>
      <c r="B92" t="s">
        <v>81</v>
      </c>
      <c r="C92" t="s">
        <v>24</v>
      </c>
      <c r="D92" t="s">
        <v>25</v>
      </c>
      <c r="E92" s="1">
        <v>379.69749999999999</v>
      </c>
      <c r="F92" s="2">
        <v>3995</v>
      </c>
      <c r="G92" s="7">
        <f t="shared" si="7"/>
        <v>1516891.5125</v>
      </c>
      <c r="H92" s="7">
        <f t="shared" si="8"/>
        <v>1898.4875</v>
      </c>
      <c r="I92" s="7">
        <f t="shared" si="9"/>
        <v>1518790</v>
      </c>
      <c r="J92" s="7">
        <f t="shared" si="10"/>
        <v>570.25907384230288</v>
      </c>
      <c r="K92" s="3">
        <f t="shared" si="11"/>
        <v>3995</v>
      </c>
      <c r="L92" s="1">
        <f t="shared" si="12"/>
        <v>2278185</v>
      </c>
      <c r="M92" s="7">
        <f t="shared" si="13"/>
        <v>759395</v>
      </c>
    </row>
    <row r="93" spans="1:13" x14ac:dyDescent="0.3">
      <c r="A93" t="s">
        <v>111</v>
      </c>
      <c r="B93" t="s">
        <v>81</v>
      </c>
      <c r="C93" t="s">
        <v>24</v>
      </c>
      <c r="D93" t="s">
        <v>25</v>
      </c>
      <c r="E93" s="1">
        <v>379.69749999999999</v>
      </c>
      <c r="F93" s="2">
        <v>4632.5</v>
      </c>
      <c r="G93" s="7">
        <f t="shared" si="7"/>
        <v>1758948.66875</v>
      </c>
      <c r="H93" s="7">
        <f t="shared" si="8"/>
        <v>1898.4875</v>
      </c>
      <c r="I93" s="7">
        <f t="shared" si="9"/>
        <v>1760847.15625</v>
      </c>
      <c r="J93" s="7">
        <f t="shared" si="10"/>
        <v>570.16097881813278</v>
      </c>
      <c r="K93" s="3">
        <f t="shared" si="11"/>
        <v>4632.5</v>
      </c>
      <c r="L93" s="1">
        <f t="shared" si="12"/>
        <v>2641270.734375</v>
      </c>
      <c r="M93" s="7">
        <f t="shared" si="13"/>
        <v>880423.578125</v>
      </c>
    </row>
    <row r="94" spans="1:13" x14ac:dyDescent="0.3">
      <c r="A94" t="s">
        <v>112</v>
      </c>
      <c r="B94" t="s">
        <v>113</v>
      </c>
      <c r="C94" t="s">
        <v>24</v>
      </c>
      <c r="D94" t="s">
        <v>25</v>
      </c>
      <c r="E94" s="1">
        <v>151.41249999999999</v>
      </c>
      <c r="F94" s="2">
        <v>4917.5</v>
      </c>
      <c r="G94" s="7">
        <f t="shared" si="7"/>
        <v>744570.96875</v>
      </c>
      <c r="H94" s="7">
        <f t="shared" si="8"/>
        <v>757.0625</v>
      </c>
      <c r="I94" s="7">
        <f t="shared" si="9"/>
        <v>745328.03125</v>
      </c>
      <c r="J94" s="7">
        <f t="shared" si="10"/>
        <v>227.34967907981698</v>
      </c>
      <c r="K94" s="3">
        <f t="shared" si="11"/>
        <v>4917.5</v>
      </c>
      <c r="L94" s="1">
        <f t="shared" si="12"/>
        <v>1117992.046875</v>
      </c>
      <c r="M94" s="7">
        <f t="shared" si="13"/>
        <v>372664.015625</v>
      </c>
    </row>
    <row r="95" spans="1:13" x14ac:dyDescent="0.3">
      <c r="A95" t="s">
        <v>114</v>
      </c>
      <c r="B95" t="s">
        <v>113</v>
      </c>
      <c r="C95" t="s">
        <v>24</v>
      </c>
      <c r="D95" t="s">
        <v>25</v>
      </c>
      <c r="E95" s="1">
        <v>178.27</v>
      </c>
      <c r="F95" s="2">
        <v>4232.5</v>
      </c>
      <c r="G95" s="7">
        <f t="shared" si="7"/>
        <v>754527.77500000002</v>
      </c>
      <c r="H95" s="7">
        <f t="shared" si="8"/>
        <v>891.35</v>
      </c>
      <c r="I95" s="7">
        <f t="shared" si="9"/>
        <v>755419.125</v>
      </c>
      <c r="J95" s="7">
        <f t="shared" si="10"/>
        <v>267.72089486119319</v>
      </c>
      <c r="K95" s="3">
        <f t="shared" si="11"/>
        <v>4232.5</v>
      </c>
      <c r="L95" s="1">
        <f t="shared" si="12"/>
        <v>1133128.6875000002</v>
      </c>
      <c r="M95" s="7">
        <f t="shared" si="13"/>
        <v>377709.56250000023</v>
      </c>
    </row>
    <row r="96" spans="1:13" x14ac:dyDescent="0.3">
      <c r="A96" t="s">
        <v>115</v>
      </c>
      <c r="B96" t="s">
        <v>113</v>
      </c>
      <c r="C96" t="s">
        <v>24</v>
      </c>
      <c r="D96" t="s">
        <v>25</v>
      </c>
      <c r="E96" s="1">
        <v>151.41249999999999</v>
      </c>
      <c r="F96" s="2">
        <v>3892</v>
      </c>
      <c r="G96" s="7">
        <f t="shared" si="7"/>
        <v>589297.44999999995</v>
      </c>
      <c r="H96" s="7">
        <f t="shared" si="8"/>
        <v>757.0625</v>
      </c>
      <c r="I96" s="7">
        <f t="shared" si="9"/>
        <v>590054.51249999995</v>
      </c>
      <c r="J96" s="7">
        <f t="shared" si="10"/>
        <v>227.41052640030833</v>
      </c>
      <c r="K96" s="3">
        <f t="shared" si="11"/>
        <v>3892</v>
      </c>
      <c r="L96" s="1">
        <f t="shared" si="12"/>
        <v>885081.76875000005</v>
      </c>
      <c r="M96" s="7">
        <f t="shared" si="13"/>
        <v>295027.25625000009</v>
      </c>
    </row>
    <row r="97" spans="1:13" x14ac:dyDescent="0.3">
      <c r="A97" t="s">
        <v>116</v>
      </c>
      <c r="B97" t="s">
        <v>117</v>
      </c>
      <c r="C97" t="s">
        <v>15</v>
      </c>
      <c r="D97" t="s">
        <v>118</v>
      </c>
      <c r="E97" s="1">
        <v>16.452500000000001</v>
      </c>
      <c r="F97" s="2">
        <v>3840</v>
      </c>
      <c r="G97" s="7">
        <f t="shared" si="7"/>
        <v>63177.600000000006</v>
      </c>
      <c r="H97" s="7">
        <f t="shared" si="8"/>
        <v>82.262500000000003</v>
      </c>
      <c r="I97" s="7">
        <f t="shared" si="9"/>
        <v>63259.862500000003</v>
      </c>
      <c r="J97" s="7">
        <f t="shared" si="10"/>
        <v>24.710883789062503</v>
      </c>
      <c r="K97" s="3">
        <f t="shared" si="11"/>
        <v>3840</v>
      </c>
      <c r="L97" s="1">
        <f t="shared" si="12"/>
        <v>94889.793750000012</v>
      </c>
      <c r="M97" s="7">
        <f t="shared" si="13"/>
        <v>31629.931250000009</v>
      </c>
    </row>
    <row r="98" spans="1:13" x14ac:dyDescent="0.3">
      <c r="A98" t="s">
        <v>119</v>
      </c>
      <c r="B98" t="s">
        <v>117</v>
      </c>
      <c r="C98" t="s">
        <v>15</v>
      </c>
      <c r="D98" t="s">
        <v>118</v>
      </c>
      <c r="E98" s="1">
        <v>19.48</v>
      </c>
      <c r="F98" s="2">
        <v>3881.75</v>
      </c>
      <c r="G98" s="7">
        <f t="shared" si="7"/>
        <v>75616.490000000005</v>
      </c>
      <c r="H98" s="7">
        <f t="shared" si="8"/>
        <v>97.4</v>
      </c>
      <c r="I98" s="7">
        <f t="shared" si="9"/>
        <v>75713.89</v>
      </c>
      <c r="J98" s="7">
        <f t="shared" si="10"/>
        <v>29.257637663425005</v>
      </c>
      <c r="K98" s="3">
        <f t="shared" si="11"/>
        <v>3881.75</v>
      </c>
      <c r="L98" s="1">
        <f t="shared" si="12"/>
        <v>113570.83500000001</v>
      </c>
      <c r="M98" s="7">
        <f t="shared" si="13"/>
        <v>37856.945000000007</v>
      </c>
    </row>
    <row r="99" spans="1:13" x14ac:dyDescent="0.3">
      <c r="A99" t="s">
        <v>120</v>
      </c>
      <c r="B99" t="s">
        <v>117</v>
      </c>
      <c r="C99" t="s">
        <v>15</v>
      </c>
      <c r="D99" t="s">
        <v>118</v>
      </c>
      <c r="E99" s="1">
        <v>25.4725</v>
      </c>
      <c r="F99" s="2">
        <v>4603.75</v>
      </c>
      <c r="G99" s="7">
        <f t="shared" si="7"/>
        <v>117269.02187500001</v>
      </c>
      <c r="H99" s="7">
        <f t="shared" si="8"/>
        <v>127.3625</v>
      </c>
      <c r="I99" s="7">
        <f t="shared" si="9"/>
        <v>117396.38437500001</v>
      </c>
      <c r="J99" s="7">
        <f t="shared" si="10"/>
        <v>38.250247420581047</v>
      </c>
      <c r="K99" s="3">
        <f t="shared" si="11"/>
        <v>4603.75</v>
      </c>
      <c r="L99" s="1">
        <f t="shared" si="12"/>
        <v>176094.57656250001</v>
      </c>
      <c r="M99" s="7">
        <f t="shared" si="13"/>
        <v>58698.192187499997</v>
      </c>
    </row>
    <row r="100" spans="1:13" x14ac:dyDescent="0.3">
      <c r="A100" t="s">
        <v>121</v>
      </c>
      <c r="B100" t="s">
        <v>117</v>
      </c>
      <c r="C100" t="s">
        <v>15</v>
      </c>
      <c r="D100" t="s">
        <v>122</v>
      </c>
      <c r="E100" s="1">
        <v>3.7949999999999999</v>
      </c>
      <c r="F100" s="2">
        <v>3969.75</v>
      </c>
      <c r="G100" s="7">
        <f t="shared" si="7"/>
        <v>15065.20125</v>
      </c>
      <c r="H100" s="7">
        <f t="shared" si="8"/>
        <v>18.975000000000001</v>
      </c>
      <c r="I100" s="7">
        <f t="shared" si="9"/>
        <v>15084.17625</v>
      </c>
      <c r="J100" s="7">
        <f t="shared" si="10"/>
        <v>5.6996698469676925</v>
      </c>
      <c r="K100" s="3">
        <f t="shared" si="11"/>
        <v>3969.75</v>
      </c>
      <c r="L100" s="1">
        <f t="shared" si="12"/>
        <v>22626.264374999999</v>
      </c>
      <c r="M100" s="7">
        <f t="shared" si="13"/>
        <v>7542.0881249999984</v>
      </c>
    </row>
    <row r="101" spans="1:13" x14ac:dyDescent="0.3">
      <c r="A101" t="s">
        <v>123</v>
      </c>
      <c r="B101" t="s">
        <v>117</v>
      </c>
      <c r="C101" t="s">
        <v>15</v>
      </c>
      <c r="D101" t="s">
        <v>122</v>
      </c>
      <c r="E101" s="1">
        <v>11.355</v>
      </c>
      <c r="F101" s="2">
        <v>4169.5</v>
      </c>
      <c r="G101" s="7">
        <f t="shared" si="7"/>
        <v>47344.672500000001</v>
      </c>
      <c r="H101" s="7">
        <f t="shared" si="8"/>
        <v>56.775000000000006</v>
      </c>
      <c r="I101" s="7">
        <f t="shared" si="9"/>
        <v>47401.447500000002</v>
      </c>
      <c r="J101" s="7">
        <f t="shared" si="10"/>
        <v>17.052925110924573</v>
      </c>
      <c r="K101" s="3">
        <f t="shared" si="11"/>
        <v>4169.5</v>
      </c>
      <c r="L101" s="1">
        <f t="shared" si="12"/>
        <v>71102.171249999999</v>
      </c>
      <c r="M101" s="7">
        <f t="shared" si="13"/>
        <v>23700.723749999997</v>
      </c>
    </row>
    <row r="102" spans="1:13" x14ac:dyDescent="0.3">
      <c r="A102" t="s">
        <v>124</v>
      </c>
      <c r="B102" t="s">
        <v>117</v>
      </c>
      <c r="C102" t="s">
        <v>15</v>
      </c>
      <c r="D102" t="s">
        <v>122</v>
      </c>
      <c r="E102" s="1">
        <v>13.845000000000001</v>
      </c>
      <c r="F102" s="2">
        <v>4679.5</v>
      </c>
      <c r="G102" s="7">
        <f t="shared" si="7"/>
        <v>64787.677500000005</v>
      </c>
      <c r="H102" s="7">
        <f t="shared" si="8"/>
        <v>69.225000000000009</v>
      </c>
      <c r="I102" s="7">
        <f t="shared" si="9"/>
        <v>64856.902500000004</v>
      </c>
      <c r="J102" s="7">
        <f t="shared" si="10"/>
        <v>20.789689870712685</v>
      </c>
      <c r="K102" s="3">
        <f t="shared" si="11"/>
        <v>4679.5</v>
      </c>
      <c r="L102" s="1">
        <f t="shared" si="12"/>
        <v>97285.353750000009</v>
      </c>
      <c r="M102" s="7">
        <f t="shared" si="13"/>
        <v>32428.451250000006</v>
      </c>
    </row>
    <row r="103" spans="1:13" x14ac:dyDescent="0.3">
      <c r="A103" t="s">
        <v>125</v>
      </c>
      <c r="B103" t="s">
        <v>117</v>
      </c>
      <c r="C103" t="s">
        <v>15</v>
      </c>
      <c r="D103" t="s">
        <v>126</v>
      </c>
      <c r="E103" s="1">
        <v>4.4950000000000001</v>
      </c>
      <c r="F103" s="2">
        <v>3920.75</v>
      </c>
      <c r="G103" s="7">
        <f t="shared" si="7"/>
        <v>17623.771250000002</v>
      </c>
      <c r="H103" s="7">
        <f t="shared" si="8"/>
        <v>22.475000000000001</v>
      </c>
      <c r="I103" s="7">
        <f t="shared" si="9"/>
        <v>17646.24625</v>
      </c>
      <c r="J103" s="7">
        <f t="shared" si="10"/>
        <v>6.7510984824332088</v>
      </c>
      <c r="K103" s="3">
        <f t="shared" si="11"/>
        <v>3920.75</v>
      </c>
      <c r="L103" s="1">
        <f t="shared" si="12"/>
        <v>26469.369375000002</v>
      </c>
      <c r="M103" s="7">
        <f t="shared" si="13"/>
        <v>8823.1231250000019</v>
      </c>
    </row>
    <row r="104" spans="1:13" x14ac:dyDescent="0.3">
      <c r="A104" t="s">
        <v>125</v>
      </c>
      <c r="B104" t="s">
        <v>117</v>
      </c>
      <c r="C104" t="s">
        <v>15</v>
      </c>
      <c r="D104" t="s">
        <v>126</v>
      </c>
      <c r="E104" s="1">
        <v>4.9450000000000003</v>
      </c>
      <c r="F104" s="2">
        <v>4634.25</v>
      </c>
      <c r="G104" s="7">
        <f t="shared" si="7"/>
        <v>22916.366250000003</v>
      </c>
      <c r="H104" s="7">
        <f t="shared" si="8"/>
        <v>24.725000000000001</v>
      </c>
      <c r="I104" s="7">
        <f t="shared" si="9"/>
        <v>22941.091250000001</v>
      </c>
      <c r="J104" s="7">
        <f t="shared" si="10"/>
        <v>7.4255029130927337</v>
      </c>
      <c r="K104" s="3">
        <f t="shared" si="11"/>
        <v>4634.25</v>
      </c>
      <c r="L104" s="1">
        <f t="shared" si="12"/>
        <v>34411.636875000004</v>
      </c>
      <c r="M104" s="7">
        <f t="shared" si="13"/>
        <v>11470.545625000002</v>
      </c>
    </row>
    <row r="105" spans="1:13" x14ac:dyDescent="0.3">
      <c r="A105" t="s">
        <v>127</v>
      </c>
      <c r="B105" t="s">
        <v>117</v>
      </c>
      <c r="C105" t="s">
        <v>15</v>
      </c>
      <c r="D105" t="s">
        <v>126</v>
      </c>
      <c r="E105" s="1">
        <v>13.35</v>
      </c>
      <c r="F105" s="2">
        <v>4634.25</v>
      </c>
      <c r="G105" s="7">
        <f t="shared" si="7"/>
        <v>61867.237499999996</v>
      </c>
      <c r="H105" s="7">
        <f t="shared" si="8"/>
        <v>66.75</v>
      </c>
      <c r="I105" s="7">
        <f t="shared" si="9"/>
        <v>61933.987499999996</v>
      </c>
      <c r="J105" s="7">
        <f t="shared" si="10"/>
        <v>20.046605437773103</v>
      </c>
      <c r="K105" s="3">
        <f t="shared" si="11"/>
        <v>4634.25</v>
      </c>
      <c r="L105" s="1">
        <f t="shared" si="12"/>
        <v>92900.981249999997</v>
      </c>
      <c r="M105" s="7">
        <f t="shared" si="13"/>
        <v>30966.993750000001</v>
      </c>
    </row>
    <row r="106" spans="1:13" x14ac:dyDescent="0.3">
      <c r="A106" t="s">
        <v>128</v>
      </c>
      <c r="B106" t="s">
        <v>117</v>
      </c>
      <c r="C106" t="s">
        <v>15</v>
      </c>
      <c r="D106" t="s">
        <v>126</v>
      </c>
      <c r="E106" s="1">
        <v>4.4950000000000001</v>
      </c>
      <c r="F106" s="2">
        <v>4039</v>
      </c>
      <c r="G106" s="7">
        <f t="shared" si="7"/>
        <v>18155.305</v>
      </c>
      <c r="H106" s="7">
        <f t="shared" si="8"/>
        <v>22.475000000000001</v>
      </c>
      <c r="I106" s="7">
        <f t="shared" si="9"/>
        <v>18177.78</v>
      </c>
      <c r="J106" s="7">
        <f t="shared" si="10"/>
        <v>6.7508467442436251</v>
      </c>
      <c r="K106" s="3">
        <f t="shared" si="11"/>
        <v>4039</v>
      </c>
      <c r="L106" s="1">
        <f t="shared" si="12"/>
        <v>27266.670000000002</v>
      </c>
      <c r="M106" s="7">
        <f t="shared" si="13"/>
        <v>9088.8900000000031</v>
      </c>
    </row>
    <row r="107" spans="1:13" x14ac:dyDescent="0.3">
      <c r="A107" t="s">
        <v>128</v>
      </c>
      <c r="B107" t="s">
        <v>117</v>
      </c>
      <c r="C107" t="s">
        <v>15</v>
      </c>
      <c r="D107" t="s">
        <v>126</v>
      </c>
      <c r="E107" s="1">
        <v>4.9450000000000003</v>
      </c>
      <c r="F107" s="2">
        <v>4594.25</v>
      </c>
      <c r="G107" s="7">
        <f t="shared" si="7"/>
        <v>22718.56625</v>
      </c>
      <c r="H107" s="7">
        <f t="shared" si="8"/>
        <v>24.725000000000001</v>
      </c>
      <c r="I107" s="7">
        <f t="shared" si="9"/>
        <v>22743.291249999998</v>
      </c>
      <c r="J107" s="7">
        <f t="shared" si="10"/>
        <v>7.4255725907384242</v>
      </c>
      <c r="K107" s="3">
        <f t="shared" si="11"/>
        <v>4594.25</v>
      </c>
      <c r="L107" s="1">
        <f t="shared" si="12"/>
        <v>34114.936875000007</v>
      </c>
      <c r="M107" s="7">
        <f t="shared" si="13"/>
        <v>11371.645625000008</v>
      </c>
    </row>
    <row r="108" spans="1:13" x14ac:dyDescent="0.3">
      <c r="A108" t="s">
        <v>129</v>
      </c>
      <c r="B108" t="s">
        <v>113</v>
      </c>
      <c r="C108" t="s">
        <v>15</v>
      </c>
      <c r="D108" t="s">
        <v>16</v>
      </c>
      <c r="E108" s="1">
        <v>75.03</v>
      </c>
      <c r="F108" s="2">
        <v>4053.25</v>
      </c>
      <c r="G108" s="7">
        <f t="shared" si="7"/>
        <v>304115.34750000003</v>
      </c>
      <c r="H108" s="7">
        <f t="shared" si="8"/>
        <v>375.15</v>
      </c>
      <c r="I108" s="7">
        <f t="shared" si="9"/>
        <v>304490.49750000006</v>
      </c>
      <c r="J108" s="7">
        <f t="shared" si="10"/>
        <v>112.68383303521867</v>
      </c>
      <c r="K108" s="3">
        <f t="shared" si="11"/>
        <v>4053.25</v>
      </c>
      <c r="L108" s="1">
        <f t="shared" si="12"/>
        <v>456735.74625000008</v>
      </c>
      <c r="M108" s="7">
        <f t="shared" si="13"/>
        <v>152245.24875000003</v>
      </c>
    </row>
    <row r="109" spans="1:13" x14ac:dyDescent="0.3">
      <c r="A109" t="s">
        <v>130</v>
      </c>
      <c r="B109" t="s">
        <v>113</v>
      </c>
      <c r="C109" t="s">
        <v>15</v>
      </c>
      <c r="D109" t="s">
        <v>16</v>
      </c>
      <c r="E109" s="1">
        <v>75.03</v>
      </c>
      <c r="F109" s="2">
        <v>3962</v>
      </c>
      <c r="G109" s="7">
        <f t="shared" si="7"/>
        <v>297268.86</v>
      </c>
      <c r="H109" s="7">
        <f t="shared" si="8"/>
        <v>375.15</v>
      </c>
      <c r="I109" s="7">
        <f t="shared" si="9"/>
        <v>297644.01</v>
      </c>
      <c r="J109" s="7">
        <f t="shared" si="10"/>
        <v>112.68703054013125</v>
      </c>
      <c r="K109" s="3">
        <f t="shared" si="11"/>
        <v>3962</v>
      </c>
      <c r="L109" s="1">
        <f t="shared" si="12"/>
        <v>446466.01500000001</v>
      </c>
      <c r="M109" s="7">
        <f t="shared" si="13"/>
        <v>148822.005</v>
      </c>
    </row>
    <row r="110" spans="1:13" x14ac:dyDescent="0.3">
      <c r="A110" t="s">
        <v>131</v>
      </c>
      <c r="B110" t="s">
        <v>132</v>
      </c>
      <c r="C110" t="s">
        <v>18</v>
      </c>
      <c r="D110" t="s">
        <v>133</v>
      </c>
      <c r="E110" s="1">
        <v>12.89</v>
      </c>
      <c r="F110" s="2">
        <v>4528.5</v>
      </c>
      <c r="G110" s="7">
        <f t="shared" si="7"/>
        <v>58372.365000000005</v>
      </c>
      <c r="H110" s="7">
        <f t="shared" si="8"/>
        <v>64.45</v>
      </c>
      <c r="I110" s="7">
        <f t="shared" si="9"/>
        <v>58436.815000000002</v>
      </c>
      <c r="J110" s="7">
        <f t="shared" si="10"/>
        <v>19.356348128519379</v>
      </c>
      <c r="K110" s="3">
        <f t="shared" si="11"/>
        <v>4528.5</v>
      </c>
      <c r="L110" s="1">
        <f t="shared" si="12"/>
        <v>87655.222500000003</v>
      </c>
      <c r="M110" s="7">
        <f t="shared" si="13"/>
        <v>29218.407500000001</v>
      </c>
    </row>
    <row r="111" spans="1:13" x14ac:dyDescent="0.3">
      <c r="A111" t="s">
        <v>134</v>
      </c>
      <c r="B111" t="s">
        <v>117</v>
      </c>
      <c r="C111" t="s">
        <v>18</v>
      </c>
      <c r="D111" t="s">
        <v>135</v>
      </c>
      <c r="E111" s="1">
        <v>2.5775000000000001</v>
      </c>
      <c r="F111" s="2">
        <v>4688.75</v>
      </c>
      <c r="G111" s="7">
        <f t="shared" si="7"/>
        <v>12085.253125000001</v>
      </c>
      <c r="H111" s="7">
        <f t="shared" si="8"/>
        <v>12.887500000000001</v>
      </c>
      <c r="I111" s="7">
        <f t="shared" si="9"/>
        <v>12098.140625000002</v>
      </c>
      <c r="J111" s="7">
        <f t="shared" si="10"/>
        <v>3.8703729005598508</v>
      </c>
      <c r="K111" s="3">
        <f t="shared" si="11"/>
        <v>4688.75</v>
      </c>
      <c r="L111" s="1">
        <f t="shared" si="12"/>
        <v>18147.2109375</v>
      </c>
      <c r="M111" s="7">
        <f t="shared" si="13"/>
        <v>6049.0703124999982</v>
      </c>
    </row>
    <row r="112" spans="1:13" x14ac:dyDescent="0.3">
      <c r="A112" t="s">
        <v>136</v>
      </c>
      <c r="B112" t="s">
        <v>117</v>
      </c>
      <c r="C112" t="s">
        <v>18</v>
      </c>
      <c r="D112" t="s">
        <v>137</v>
      </c>
      <c r="E112" s="1">
        <v>2.0625</v>
      </c>
      <c r="F112" s="2">
        <v>4327.25</v>
      </c>
      <c r="G112" s="7">
        <f t="shared" si="7"/>
        <v>8924.953125</v>
      </c>
      <c r="H112" s="7">
        <f t="shared" si="8"/>
        <v>10.3125</v>
      </c>
      <c r="I112" s="7">
        <f t="shared" si="9"/>
        <v>8935.265625</v>
      </c>
      <c r="J112" s="7">
        <f t="shared" si="10"/>
        <v>3.0973247299092956</v>
      </c>
      <c r="K112" s="3">
        <f t="shared" si="11"/>
        <v>4327.25</v>
      </c>
      <c r="L112" s="1">
        <f t="shared" si="12"/>
        <v>13402.8984375</v>
      </c>
      <c r="M112" s="7">
        <f t="shared" si="13"/>
        <v>4467.6328125</v>
      </c>
    </row>
    <row r="113" spans="1:13" x14ac:dyDescent="0.3">
      <c r="A113" t="s">
        <v>138</v>
      </c>
      <c r="B113" t="s">
        <v>117</v>
      </c>
      <c r="C113" t="s">
        <v>18</v>
      </c>
      <c r="D113" t="s">
        <v>137</v>
      </c>
      <c r="E113" s="1">
        <v>2.5775000000000001</v>
      </c>
      <c r="F113" s="2">
        <v>3832</v>
      </c>
      <c r="G113" s="7">
        <f t="shared" si="7"/>
        <v>9876.9800000000014</v>
      </c>
      <c r="H113" s="7">
        <f t="shared" si="8"/>
        <v>12.887500000000001</v>
      </c>
      <c r="I113" s="7">
        <f t="shared" si="9"/>
        <v>9889.8675000000021</v>
      </c>
      <c r="J113" s="7">
        <f t="shared" si="10"/>
        <v>3.8712946894572022</v>
      </c>
      <c r="K113" s="3">
        <f t="shared" si="11"/>
        <v>3832</v>
      </c>
      <c r="L113" s="1">
        <f t="shared" si="12"/>
        <v>14834.801249999999</v>
      </c>
      <c r="M113" s="7">
        <f t="shared" si="13"/>
        <v>4944.9337499999965</v>
      </c>
    </row>
    <row r="114" spans="1:13" x14ac:dyDescent="0.3">
      <c r="A114" t="s">
        <v>139</v>
      </c>
      <c r="B114" t="s">
        <v>117</v>
      </c>
      <c r="C114" t="s">
        <v>18</v>
      </c>
      <c r="D114" t="s">
        <v>140</v>
      </c>
      <c r="E114" s="1">
        <v>1.4424999999999999</v>
      </c>
      <c r="F114" s="2">
        <v>4076.25</v>
      </c>
      <c r="G114" s="7">
        <f t="shared" si="7"/>
        <v>5879.9906249999995</v>
      </c>
      <c r="H114" s="7">
        <f t="shared" si="8"/>
        <v>7.2124999999999995</v>
      </c>
      <c r="I114" s="7">
        <f t="shared" si="9"/>
        <v>5887.2031249999991</v>
      </c>
      <c r="J114" s="7">
        <f t="shared" si="10"/>
        <v>2.1664040938362463</v>
      </c>
      <c r="K114" s="3">
        <f t="shared" si="11"/>
        <v>4076.25</v>
      </c>
      <c r="L114" s="1">
        <f t="shared" si="12"/>
        <v>8830.8046874999982</v>
      </c>
      <c r="M114" s="7">
        <f t="shared" si="13"/>
        <v>2943.6015624999991</v>
      </c>
    </row>
    <row r="115" spans="1:13" x14ac:dyDescent="0.3">
      <c r="A115" t="s">
        <v>141</v>
      </c>
      <c r="B115" t="s">
        <v>117</v>
      </c>
      <c r="C115" t="s">
        <v>18</v>
      </c>
      <c r="D115" t="s">
        <v>140</v>
      </c>
      <c r="E115" s="1">
        <v>3.6074999999999999</v>
      </c>
      <c r="F115" s="2">
        <v>3838</v>
      </c>
      <c r="G115" s="7">
        <f t="shared" si="7"/>
        <v>13845.584999999999</v>
      </c>
      <c r="H115" s="7">
        <f t="shared" si="8"/>
        <v>18.037500000000001</v>
      </c>
      <c r="I115" s="7">
        <f t="shared" si="9"/>
        <v>13863.622499999999</v>
      </c>
      <c r="J115" s="7">
        <f t="shared" si="10"/>
        <v>5.4182995700885872</v>
      </c>
      <c r="K115" s="3">
        <f t="shared" si="11"/>
        <v>3838</v>
      </c>
      <c r="L115" s="1">
        <f t="shared" si="12"/>
        <v>20795.433749999997</v>
      </c>
      <c r="M115" s="7">
        <f t="shared" si="13"/>
        <v>6931.811249999997</v>
      </c>
    </row>
    <row r="116" spans="1:13" x14ac:dyDescent="0.3">
      <c r="A116" t="s">
        <v>142</v>
      </c>
      <c r="B116" t="s">
        <v>117</v>
      </c>
      <c r="C116" t="s">
        <v>18</v>
      </c>
      <c r="D116" t="s">
        <v>140</v>
      </c>
      <c r="E116" s="1">
        <v>4.6399999999999997</v>
      </c>
      <c r="F116" s="2">
        <v>4785</v>
      </c>
      <c r="G116" s="7">
        <f t="shared" si="7"/>
        <v>22202.399999999998</v>
      </c>
      <c r="H116" s="7">
        <f t="shared" si="8"/>
        <v>23.2</v>
      </c>
      <c r="I116" s="7">
        <f t="shared" si="9"/>
        <v>22225.599999999999</v>
      </c>
      <c r="J116" s="7">
        <f t="shared" si="10"/>
        <v>6.9672727272727268</v>
      </c>
      <c r="K116" s="3">
        <f t="shared" si="11"/>
        <v>4785</v>
      </c>
      <c r="L116" s="1">
        <f t="shared" si="12"/>
        <v>33338.400000000001</v>
      </c>
      <c r="M116" s="7">
        <f t="shared" si="13"/>
        <v>11112.800000000003</v>
      </c>
    </row>
    <row r="117" spans="1:13" x14ac:dyDescent="0.3">
      <c r="A117" t="s">
        <v>143</v>
      </c>
      <c r="B117" t="s">
        <v>90</v>
      </c>
      <c r="C117" t="s">
        <v>52</v>
      </c>
      <c r="D117" t="s">
        <v>144</v>
      </c>
      <c r="E117" s="1">
        <v>9.2799999999999994</v>
      </c>
      <c r="F117" s="2">
        <v>4902</v>
      </c>
      <c r="G117" s="7">
        <f t="shared" si="7"/>
        <v>45490.559999999998</v>
      </c>
      <c r="H117" s="7">
        <f t="shared" si="8"/>
        <v>46.4</v>
      </c>
      <c r="I117" s="7">
        <f t="shared" si="9"/>
        <v>45536.959999999999</v>
      </c>
      <c r="J117" s="7">
        <f t="shared" si="10"/>
        <v>13.934198286413707</v>
      </c>
      <c r="K117" s="3">
        <f t="shared" si="11"/>
        <v>4902</v>
      </c>
      <c r="L117" s="1">
        <f t="shared" si="12"/>
        <v>68305.439999999988</v>
      </c>
      <c r="M117" s="7">
        <f t="shared" si="13"/>
        <v>22768.479999999989</v>
      </c>
    </row>
    <row r="118" spans="1:13" x14ac:dyDescent="0.3">
      <c r="A118" t="s">
        <v>145</v>
      </c>
      <c r="B118" t="s">
        <v>90</v>
      </c>
      <c r="C118" t="s">
        <v>52</v>
      </c>
      <c r="D118" t="s">
        <v>144</v>
      </c>
      <c r="E118" s="1">
        <v>9.2799999999999994</v>
      </c>
      <c r="F118" s="2">
        <v>4316.5</v>
      </c>
      <c r="G118" s="7">
        <f t="shared" si="7"/>
        <v>40057.119999999995</v>
      </c>
      <c r="H118" s="7">
        <f t="shared" si="8"/>
        <v>46.4</v>
      </c>
      <c r="I118" s="7">
        <f t="shared" si="9"/>
        <v>40103.519999999997</v>
      </c>
      <c r="J118" s="7">
        <f t="shared" si="10"/>
        <v>13.936124174678557</v>
      </c>
      <c r="K118" s="3">
        <f t="shared" si="11"/>
        <v>4316.5</v>
      </c>
      <c r="L118" s="1">
        <f t="shared" si="12"/>
        <v>60155.279999999992</v>
      </c>
      <c r="M118" s="7">
        <f t="shared" si="13"/>
        <v>20051.759999999995</v>
      </c>
    </row>
    <row r="119" spans="1:13" x14ac:dyDescent="0.3">
      <c r="A119" t="s">
        <v>146</v>
      </c>
      <c r="B119" t="s">
        <v>90</v>
      </c>
      <c r="C119" t="s">
        <v>52</v>
      </c>
      <c r="D119" t="s">
        <v>144</v>
      </c>
      <c r="E119" s="1">
        <v>9.2799999999999994</v>
      </c>
      <c r="F119" s="2">
        <v>4661.75</v>
      </c>
      <c r="G119" s="7">
        <f t="shared" si="7"/>
        <v>43261.039999999994</v>
      </c>
      <c r="H119" s="7">
        <f t="shared" si="8"/>
        <v>46.4</v>
      </c>
      <c r="I119" s="7">
        <f t="shared" si="9"/>
        <v>43307.439999999995</v>
      </c>
      <c r="J119" s="7">
        <f t="shared" si="10"/>
        <v>13.934930015552098</v>
      </c>
      <c r="K119" s="3">
        <f t="shared" si="11"/>
        <v>4661.75</v>
      </c>
      <c r="L119" s="1">
        <f t="shared" si="12"/>
        <v>64961.159999999989</v>
      </c>
      <c r="M119" s="7">
        <f t="shared" si="13"/>
        <v>21653.719999999994</v>
      </c>
    </row>
    <row r="120" spans="1:13" x14ac:dyDescent="0.3">
      <c r="A120" t="s">
        <v>147</v>
      </c>
      <c r="B120" t="s">
        <v>84</v>
      </c>
      <c r="C120" t="s">
        <v>52</v>
      </c>
      <c r="D120" t="s">
        <v>148</v>
      </c>
      <c r="E120" s="1">
        <v>5.9375</v>
      </c>
      <c r="F120" s="2">
        <v>3794.25</v>
      </c>
      <c r="G120" s="7">
        <f t="shared" si="7"/>
        <v>22528.359375</v>
      </c>
      <c r="H120" s="7">
        <f t="shared" si="8"/>
        <v>29.6875</v>
      </c>
      <c r="I120" s="7">
        <f t="shared" si="9"/>
        <v>22558.046875</v>
      </c>
      <c r="J120" s="7">
        <f t="shared" si="10"/>
        <v>8.9179865091915396</v>
      </c>
      <c r="K120" s="3">
        <f t="shared" si="11"/>
        <v>3794.25</v>
      </c>
      <c r="L120" s="1">
        <f t="shared" si="12"/>
        <v>33837.0703125</v>
      </c>
      <c r="M120" s="7">
        <f t="shared" si="13"/>
        <v>11279.0234375</v>
      </c>
    </row>
    <row r="121" spans="1:13" x14ac:dyDescent="0.3">
      <c r="A121" t="s">
        <v>149</v>
      </c>
      <c r="B121" t="s">
        <v>84</v>
      </c>
      <c r="C121" t="s">
        <v>52</v>
      </c>
      <c r="D121" t="s">
        <v>148</v>
      </c>
      <c r="E121" s="1">
        <v>5.9375</v>
      </c>
      <c r="F121" s="2">
        <v>4813</v>
      </c>
      <c r="G121" s="7">
        <f t="shared" si="7"/>
        <v>28577.1875</v>
      </c>
      <c r="H121" s="7">
        <f t="shared" si="8"/>
        <v>29.6875</v>
      </c>
      <c r="I121" s="7">
        <f t="shared" si="9"/>
        <v>28606.875</v>
      </c>
      <c r="J121" s="7">
        <f t="shared" si="10"/>
        <v>8.9155022854768333</v>
      </c>
      <c r="K121" s="3">
        <f t="shared" si="11"/>
        <v>4813</v>
      </c>
      <c r="L121" s="1">
        <f t="shared" si="12"/>
        <v>42910.3125</v>
      </c>
      <c r="M121" s="7">
        <f t="shared" si="13"/>
        <v>14303.4375</v>
      </c>
    </row>
    <row r="122" spans="1:13" x14ac:dyDescent="0.3">
      <c r="A122" t="s">
        <v>150</v>
      </c>
      <c r="B122" t="s">
        <v>84</v>
      </c>
      <c r="C122" t="s">
        <v>52</v>
      </c>
      <c r="D122" t="s">
        <v>148</v>
      </c>
      <c r="E122" s="1">
        <v>5.9375</v>
      </c>
      <c r="F122" s="2">
        <v>4655.75</v>
      </c>
      <c r="G122" s="7">
        <f t="shared" si="7"/>
        <v>27643.515625</v>
      </c>
      <c r="H122" s="7">
        <f t="shared" si="8"/>
        <v>29.6875</v>
      </c>
      <c r="I122" s="7">
        <f t="shared" si="9"/>
        <v>27673.203125</v>
      </c>
      <c r="J122" s="7">
        <f t="shared" si="10"/>
        <v>8.91581478548032</v>
      </c>
      <c r="K122" s="3">
        <f t="shared" si="11"/>
        <v>4655.75</v>
      </c>
      <c r="L122" s="1">
        <f t="shared" si="12"/>
        <v>41509.8046875</v>
      </c>
      <c r="M122" s="7">
        <f t="shared" si="13"/>
        <v>13836.6015625</v>
      </c>
    </row>
    <row r="123" spans="1:13" x14ac:dyDescent="0.3">
      <c r="A123" t="s">
        <v>151</v>
      </c>
      <c r="B123" t="s">
        <v>117</v>
      </c>
      <c r="C123" t="s">
        <v>18</v>
      </c>
      <c r="D123" t="s">
        <v>152</v>
      </c>
      <c r="E123" s="1">
        <v>0.46750000000000003</v>
      </c>
      <c r="F123" s="2">
        <v>3845.5</v>
      </c>
      <c r="G123" s="7">
        <f t="shared" si="7"/>
        <v>1797.77125</v>
      </c>
      <c r="H123" s="7">
        <f t="shared" si="8"/>
        <v>2.3375000000000004</v>
      </c>
      <c r="I123" s="7">
        <f t="shared" si="9"/>
        <v>1800.1087500000001</v>
      </c>
      <c r="J123" s="7">
        <f t="shared" si="10"/>
        <v>0.70216178000260054</v>
      </c>
      <c r="K123" s="3">
        <f t="shared" si="11"/>
        <v>3845.5</v>
      </c>
      <c r="L123" s="1">
        <f t="shared" si="12"/>
        <v>2700.1631250000005</v>
      </c>
      <c r="M123" s="7">
        <f t="shared" si="13"/>
        <v>900.05437500000039</v>
      </c>
    </row>
    <row r="124" spans="1:13" x14ac:dyDescent="0.3">
      <c r="A124" t="s">
        <v>153</v>
      </c>
      <c r="B124" t="s">
        <v>117</v>
      </c>
      <c r="C124" t="s">
        <v>18</v>
      </c>
      <c r="D124" t="s">
        <v>152</v>
      </c>
      <c r="E124" s="1">
        <v>0.93500000000000005</v>
      </c>
      <c r="F124" s="2">
        <v>4382.75</v>
      </c>
      <c r="G124" s="7">
        <f t="shared" si="7"/>
        <v>4097.8712500000001</v>
      </c>
      <c r="H124" s="7">
        <f t="shared" si="8"/>
        <v>4.6750000000000007</v>
      </c>
      <c r="I124" s="7">
        <f t="shared" si="9"/>
        <v>4102.5462500000003</v>
      </c>
      <c r="J124" s="7">
        <f t="shared" si="10"/>
        <v>1.4041000228167246</v>
      </c>
      <c r="K124" s="3">
        <f t="shared" si="11"/>
        <v>4382.75</v>
      </c>
      <c r="L124" s="1">
        <f t="shared" si="12"/>
        <v>6153.819375</v>
      </c>
      <c r="M124" s="7">
        <f t="shared" si="13"/>
        <v>2051.2731249999997</v>
      </c>
    </row>
    <row r="125" spans="1:13" x14ac:dyDescent="0.3">
      <c r="A125" t="s">
        <v>154</v>
      </c>
      <c r="B125" t="s">
        <v>117</v>
      </c>
      <c r="C125" t="s">
        <v>18</v>
      </c>
      <c r="D125" t="s">
        <v>152</v>
      </c>
      <c r="E125" s="1">
        <v>0.84</v>
      </c>
      <c r="F125" s="2">
        <v>3761.25</v>
      </c>
      <c r="G125" s="7">
        <f t="shared" si="7"/>
        <v>3159.45</v>
      </c>
      <c r="H125" s="7">
        <f t="shared" si="8"/>
        <v>4.2</v>
      </c>
      <c r="I125" s="7">
        <f t="shared" si="9"/>
        <v>3163.6499999999996</v>
      </c>
      <c r="J125" s="7">
        <f t="shared" si="10"/>
        <v>1.2616749750747756</v>
      </c>
      <c r="K125" s="3">
        <f t="shared" si="11"/>
        <v>3761.25</v>
      </c>
      <c r="L125" s="1">
        <f t="shared" si="12"/>
        <v>4745.4749999999995</v>
      </c>
      <c r="M125" s="7">
        <f t="shared" si="13"/>
        <v>1581.8249999999998</v>
      </c>
    </row>
    <row r="126" spans="1:13" x14ac:dyDescent="0.3">
      <c r="A126" t="s">
        <v>155</v>
      </c>
      <c r="B126" t="s">
        <v>117</v>
      </c>
      <c r="C126" t="s">
        <v>18</v>
      </c>
      <c r="D126" t="s">
        <v>156</v>
      </c>
      <c r="E126" s="1">
        <v>0.215</v>
      </c>
      <c r="F126" s="2">
        <v>3963</v>
      </c>
      <c r="G126" s="7">
        <f t="shared" si="7"/>
        <v>852.04499999999996</v>
      </c>
      <c r="H126" s="7">
        <f t="shared" si="8"/>
        <v>1.075</v>
      </c>
      <c r="I126" s="7">
        <f t="shared" si="9"/>
        <v>853.12</v>
      </c>
      <c r="J126" s="7">
        <f t="shared" si="10"/>
        <v>0.32290688872066614</v>
      </c>
      <c r="K126" s="3">
        <f t="shared" si="11"/>
        <v>3963</v>
      </c>
      <c r="L126" s="1">
        <f t="shared" si="12"/>
        <v>1279.6799999999998</v>
      </c>
      <c r="M126" s="7">
        <f t="shared" si="13"/>
        <v>426.55999999999983</v>
      </c>
    </row>
    <row r="127" spans="1:13" x14ac:dyDescent="0.3">
      <c r="A127" t="s">
        <v>157</v>
      </c>
      <c r="B127" t="s">
        <v>86</v>
      </c>
      <c r="C127" t="s">
        <v>52</v>
      </c>
      <c r="D127" t="s">
        <v>87</v>
      </c>
      <c r="E127" s="1">
        <v>0.84</v>
      </c>
      <c r="F127" s="2">
        <v>4890.25</v>
      </c>
      <c r="G127" s="7">
        <f t="shared" si="7"/>
        <v>4107.8099999999995</v>
      </c>
      <c r="H127" s="7">
        <f t="shared" si="8"/>
        <v>4.2</v>
      </c>
      <c r="I127" s="7">
        <f t="shared" si="9"/>
        <v>4112.0099999999993</v>
      </c>
      <c r="J127" s="7">
        <f t="shared" si="10"/>
        <v>1.2612882776954142</v>
      </c>
      <c r="K127" s="3">
        <f t="shared" si="11"/>
        <v>4890.25</v>
      </c>
      <c r="L127" s="1">
        <f t="shared" si="12"/>
        <v>6168.0149999999994</v>
      </c>
      <c r="M127" s="7">
        <f t="shared" si="13"/>
        <v>2056.0050000000001</v>
      </c>
    </row>
    <row r="128" spans="1:13" x14ac:dyDescent="0.3">
      <c r="A128" t="s">
        <v>158</v>
      </c>
      <c r="B128" t="s">
        <v>86</v>
      </c>
      <c r="C128" t="s">
        <v>52</v>
      </c>
      <c r="D128" t="s">
        <v>87</v>
      </c>
      <c r="E128" s="1">
        <v>0.84</v>
      </c>
      <c r="F128" s="2">
        <v>4731.25</v>
      </c>
      <c r="G128" s="7">
        <f t="shared" si="7"/>
        <v>3974.25</v>
      </c>
      <c r="H128" s="7">
        <f t="shared" si="8"/>
        <v>4.2</v>
      </c>
      <c r="I128" s="7">
        <f t="shared" si="9"/>
        <v>3978.45</v>
      </c>
      <c r="J128" s="7">
        <f t="shared" si="10"/>
        <v>1.2613315719947158</v>
      </c>
      <c r="K128" s="3">
        <f t="shared" si="11"/>
        <v>4731.25</v>
      </c>
      <c r="L128" s="1">
        <f t="shared" si="12"/>
        <v>5967.6749999999993</v>
      </c>
      <c r="M128" s="7">
        <f t="shared" si="13"/>
        <v>1989.2249999999995</v>
      </c>
    </row>
    <row r="129" spans="1:13" x14ac:dyDescent="0.3">
      <c r="A129" t="s">
        <v>159</v>
      </c>
      <c r="B129" t="s">
        <v>117</v>
      </c>
      <c r="C129" t="s">
        <v>18</v>
      </c>
      <c r="D129" t="s">
        <v>160</v>
      </c>
      <c r="E129" s="1">
        <v>11.22</v>
      </c>
      <c r="F129" s="2">
        <v>4993.25</v>
      </c>
      <c r="G129" s="7">
        <f t="shared" si="7"/>
        <v>56024.265000000007</v>
      </c>
      <c r="H129" s="7">
        <f t="shared" si="8"/>
        <v>56.1</v>
      </c>
      <c r="I129" s="7">
        <f t="shared" si="9"/>
        <v>56080.365000000005</v>
      </c>
      <c r="J129" s="7">
        <f t="shared" si="10"/>
        <v>16.84685275121414</v>
      </c>
      <c r="K129" s="3">
        <f t="shared" si="11"/>
        <v>4993.25</v>
      </c>
      <c r="L129" s="1">
        <f t="shared" si="12"/>
        <v>84120.547500000001</v>
      </c>
      <c r="M129" s="7">
        <f t="shared" si="13"/>
        <v>28040.182499999995</v>
      </c>
    </row>
    <row r="130" spans="1:13" x14ac:dyDescent="0.3">
      <c r="A130" t="s">
        <v>161</v>
      </c>
      <c r="B130" t="s">
        <v>117</v>
      </c>
      <c r="C130" t="s">
        <v>18</v>
      </c>
      <c r="D130" t="s">
        <v>162</v>
      </c>
      <c r="E130" s="1">
        <v>0.74250000000000005</v>
      </c>
      <c r="F130" s="2">
        <v>4539.75</v>
      </c>
      <c r="G130" s="7">
        <f t="shared" si="7"/>
        <v>3370.7643750000002</v>
      </c>
      <c r="H130" s="7">
        <f t="shared" si="8"/>
        <v>3.7125000000000004</v>
      </c>
      <c r="I130" s="7">
        <f t="shared" si="9"/>
        <v>3374.4768750000003</v>
      </c>
      <c r="J130" s="7">
        <f t="shared" si="10"/>
        <v>1.1149766644639023</v>
      </c>
      <c r="K130" s="3">
        <f t="shared" si="11"/>
        <v>4539.75</v>
      </c>
      <c r="L130" s="1">
        <f t="shared" si="12"/>
        <v>5061.7153125000004</v>
      </c>
      <c r="M130" s="7">
        <f t="shared" si="13"/>
        <v>1687.2384375000001</v>
      </c>
    </row>
    <row r="131" spans="1:13" x14ac:dyDescent="0.3">
      <c r="A131" t="s">
        <v>163</v>
      </c>
      <c r="B131" t="s">
        <v>117</v>
      </c>
      <c r="C131" t="s">
        <v>18</v>
      </c>
      <c r="D131" t="s">
        <v>164</v>
      </c>
      <c r="E131" s="1">
        <v>2.0550000000000002</v>
      </c>
      <c r="F131" s="2">
        <v>3829</v>
      </c>
      <c r="G131" s="7">
        <f t="shared" si="7"/>
        <v>7868.5950000000003</v>
      </c>
      <c r="H131" s="7">
        <f t="shared" si="8"/>
        <v>10.275</v>
      </c>
      <c r="I131" s="7">
        <f t="shared" si="9"/>
        <v>7878.87</v>
      </c>
      <c r="J131" s="7">
        <f t="shared" si="10"/>
        <v>3.0865252024027168</v>
      </c>
      <c r="K131" s="3">
        <f t="shared" si="11"/>
        <v>3829</v>
      </c>
      <c r="L131" s="1">
        <f t="shared" si="12"/>
        <v>11818.305000000002</v>
      </c>
      <c r="M131" s="7">
        <f t="shared" si="13"/>
        <v>3939.4350000000022</v>
      </c>
    </row>
    <row r="132" spans="1:13" x14ac:dyDescent="0.3">
      <c r="A132" t="s">
        <v>165</v>
      </c>
      <c r="B132" t="s">
        <v>117</v>
      </c>
      <c r="C132" t="s">
        <v>18</v>
      </c>
      <c r="D132" t="s">
        <v>166</v>
      </c>
      <c r="E132" s="1">
        <v>14.8675</v>
      </c>
      <c r="F132" s="2">
        <v>4127.75</v>
      </c>
      <c r="G132" s="7">
        <f t="shared" si="7"/>
        <v>61369.323124999995</v>
      </c>
      <c r="H132" s="7">
        <f t="shared" si="8"/>
        <v>74.337500000000006</v>
      </c>
      <c r="I132" s="7">
        <f t="shared" si="9"/>
        <v>61443.660624999997</v>
      </c>
      <c r="J132" s="7">
        <f t="shared" si="10"/>
        <v>22.328263808975834</v>
      </c>
      <c r="K132" s="3">
        <f t="shared" si="11"/>
        <v>4127.75</v>
      </c>
      <c r="L132" s="1">
        <f t="shared" si="12"/>
        <v>92165.490937499999</v>
      </c>
      <c r="M132" s="7">
        <f t="shared" si="13"/>
        <v>30721.830312500002</v>
      </c>
    </row>
    <row r="133" spans="1:13" x14ac:dyDescent="0.3">
      <c r="A133" t="s">
        <v>167</v>
      </c>
      <c r="B133" t="s">
        <v>98</v>
      </c>
      <c r="C133" t="s">
        <v>18</v>
      </c>
      <c r="D133" t="s">
        <v>168</v>
      </c>
      <c r="E133" s="1">
        <v>5.1425000000000001</v>
      </c>
      <c r="F133" s="2">
        <v>4839.25</v>
      </c>
      <c r="G133" s="7">
        <f t="shared" ref="G133:G196" si="14">E133*F133</f>
        <v>24885.843124999999</v>
      </c>
      <c r="H133" s="7">
        <f t="shared" ref="H133:H196" si="15">E133*$P$1</f>
        <v>25.712499999999999</v>
      </c>
      <c r="I133" s="7">
        <f t="shared" ref="I133:I196" si="16">G133+H133</f>
        <v>24911.555625000001</v>
      </c>
      <c r="J133" s="7">
        <f t="shared" ref="J133:J196" si="17">E133+(H133/F133)+(E133+(H133/F133))*0.5</f>
        <v>7.7217199850183391</v>
      </c>
      <c r="K133" s="3">
        <f t="shared" ref="K133:K196" si="18">F133</f>
        <v>4839.25</v>
      </c>
      <c r="L133" s="1">
        <f t="shared" ref="L133:L196" si="19">K133*J133</f>
        <v>37367.333437499998</v>
      </c>
      <c r="M133" s="7">
        <f t="shared" ref="M133:M196" si="20">L133-I133</f>
        <v>12455.777812499997</v>
      </c>
    </row>
    <row r="134" spans="1:13" x14ac:dyDescent="0.3">
      <c r="A134" t="s">
        <v>169</v>
      </c>
      <c r="B134" t="s">
        <v>113</v>
      </c>
      <c r="C134" t="s">
        <v>52</v>
      </c>
      <c r="D134" t="s">
        <v>93</v>
      </c>
      <c r="E134" s="1">
        <v>10.3925</v>
      </c>
      <c r="F134" s="2">
        <v>4554.5</v>
      </c>
      <c r="G134" s="7">
        <f t="shared" si="14"/>
        <v>47332.641250000001</v>
      </c>
      <c r="H134" s="7">
        <f t="shared" si="15"/>
        <v>51.962499999999999</v>
      </c>
      <c r="I134" s="7">
        <f t="shared" si="16"/>
        <v>47384.603750000002</v>
      </c>
      <c r="J134" s="7">
        <f t="shared" si="17"/>
        <v>15.605863568997695</v>
      </c>
      <c r="K134" s="3">
        <f t="shared" si="18"/>
        <v>4554.5</v>
      </c>
      <c r="L134" s="1">
        <f t="shared" si="19"/>
        <v>71076.905624999999</v>
      </c>
      <c r="M134" s="7">
        <f t="shared" si="20"/>
        <v>23692.301874999997</v>
      </c>
    </row>
    <row r="135" spans="1:13" x14ac:dyDescent="0.3">
      <c r="A135" t="s">
        <v>170</v>
      </c>
      <c r="B135" t="s">
        <v>113</v>
      </c>
      <c r="C135" t="s">
        <v>52</v>
      </c>
      <c r="D135" t="s">
        <v>93</v>
      </c>
      <c r="E135" s="1">
        <v>10.3925</v>
      </c>
      <c r="F135" s="2">
        <v>4071</v>
      </c>
      <c r="G135" s="7">
        <f t="shared" si="14"/>
        <v>42307.8675</v>
      </c>
      <c r="H135" s="7">
        <f t="shared" si="15"/>
        <v>51.962499999999999</v>
      </c>
      <c r="I135" s="7">
        <f t="shared" si="16"/>
        <v>42359.83</v>
      </c>
      <c r="J135" s="7">
        <f t="shared" si="17"/>
        <v>15.607896094325719</v>
      </c>
      <c r="K135" s="3">
        <f t="shared" si="18"/>
        <v>4071</v>
      </c>
      <c r="L135" s="1">
        <f t="shared" si="19"/>
        <v>63539.745000000003</v>
      </c>
      <c r="M135" s="7">
        <f t="shared" si="20"/>
        <v>21179.915000000001</v>
      </c>
    </row>
    <row r="136" spans="1:13" x14ac:dyDescent="0.3">
      <c r="A136" t="s">
        <v>171</v>
      </c>
      <c r="B136" t="s">
        <v>113</v>
      </c>
      <c r="C136" t="s">
        <v>52</v>
      </c>
      <c r="D136" t="s">
        <v>93</v>
      </c>
      <c r="E136" s="1">
        <v>10.3925</v>
      </c>
      <c r="F136" s="2">
        <v>4083</v>
      </c>
      <c r="G136" s="7">
        <f t="shared" si="14"/>
        <v>42432.577499999999</v>
      </c>
      <c r="H136" s="7">
        <f t="shared" si="15"/>
        <v>51.962499999999999</v>
      </c>
      <c r="I136" s="7">
        <f t="shared" si="16"/>
        <v>42484.54</v>
      </c>
      <c r="J136" s="7">
        <f t="shared" si="17"/>
        <v>15.607839823659075</v>
      </c>
      <c r="K136" s="3">
        <f t="shared" si="18"/>
        <v>4083</v>
      </c>
      <c r="L136" s="1">
        <f t="shared" si="19"/>
        <v>63726.810000000005</v>
      </c>
      <c r="M136" s="7">
        <f t="shared" si="20"/>
        <v>21242.270000000004</v>
      </c>
    </row>
    <row r="137" spans="1:13" x14ac:dyDescent="0.3">
      <c r="A137" t="s">
        <v>172</v>
      </c>
      <c r="B137" t="s">
        <v>113</v>
      </c>
      <c r="C137" t="s">
        <v>52</v>
      </c>
      <c r="D137" t="s">
        <v>93</v>
      </c>
      <c r="E137" s="1">
        <v>10.3925</v>
      </c>
      <c r="F137" s="2">
        <v>3916.25</v>
      </c>
      <c r="G137" s="7">
        <f t="shared" si="14"/>
        <v>40699.628125000003</v>
      </c>
      <c r="H137" s="7">
        <f t="shared" si="15"/>
        <v>51.962499999999999</v>
      </c>
      <c r="I137" s="7">
        <f t="shared" si="16"/>
        <v>40751.590625000004</v>
      </c>
      <c r="J137" s="7">
        <f t="shared" si="17"/>
        <v>15.608652649218001</v>
      </c>
      <c r="K137" s="3">
        <f t="shared" si="18"/>
        <v>3916.25</v>
      </c>
      <c r="L137" s="1">
        <f t="shared" si="19"/>
        <v>61127.385937499996</v>
      </c>
      <c r="M137" s="7">
        <f t="shared" si="20"/>
        <v>20375.795312499991</v>
      </c>
    </row>
    <row r="138" spans="1:13" x14ac:dyDescent="0.3">
      <c r="A138" t="s">
        <v>173</v>
      </c>
      <c r="B138" t="s">
        <v>113</v>
      </c>
      <c r="C138" t="s">
        <v>15</v>
      </c>
      <c r="D138" t="s">
        <v>174</v>
      </c>
      <c r="E138" s="1">
        <v>150.435</v>
      </c>
      <c r="F138" s="2">
        <v>4224.25</v>
      </c>
      <c r="G138" s="7">
        <f t="shared" si="14"/>
        <v>635475.04874999996</v>
      </c>
      <c r="H138" s="7">
        <f t="shared" si="15"/>
        <v>752.17499999999995</v>
      </c>
      <c r="I138" s="7">
        <f t="shared" si="16"/>
        <v>636227.22375</v>
      </c>
      <c r="J138" s="7">
        <f t="shared" si="17"/>
        <v>225.91959179144229</v>
      </c>
      <c r="K138" s="3">
        <f t="shared" si="18"/>
        <v>4224.25</v>
      </c>
      <c r="L138" s="1">
        <f t="shared" si="19"/>
        <v>954340.83562500007</v>
      </c>
      <c r="M138" s="7">
        <f t="shared" si="20"/>
        <v>318113.61187500006</v>
      </c>
    </row>
    <row r="139" spans="1:13" x14ac:dyDescent="0.3">
      <c r="A139" t="s">
        <v>175</v>
      </c>
      <c r="B139" t="s">
        <v>113</v>
      </c>
      <c r="C139" t="s">
        <v>15</v>
      </c>
      <c r="D139" t="s">
        <v>174</v>
      </c>
      <c r="E139" s="1">
        <v>49.962499999999999</v>
      </c>
      <c r="F139" s="2">
        <v>3925.25</v>
      </c>
      <c r="G139" s="7">
        <f t="shared" si="14"/>
        <v>196115.30312500001</v>
      </c>
      <c r="H139" s="7">
        <f t="shared" si="15"/>
        <v>249.8125</v>
      </c>
      <c r="I139" s="7">
        <f t="shared" si="16"/>
        <v>196365.11562500001</v>
      </c>
      <c r="J139" s="7">
        <f t="shared" si="17"/>
        <v>75.039213664734731</v>
      </c>
      <c r="K139" s="3">
        <f t="shared" si="18"/>
        <v>3925.25</v>
      </c>
      <c r="L139" s="1">
        <f t="shared" si="19"/>
        <v>294547.67343750002</v>
      </c>
      <c r="M139" s="7">
        <f t="shared" si="20"/>
        <v>98182.557812500017</v>
      </c>
    </row>
    <row r="140" spans="1:13" x14ac:dyDescent="0.3">
      <c r="A140" t="s">
        <v>176</v>
      </c>
      <c r="B140" t="s">
        <v>113</v>
      </c>
      <c r="C140" t="s">
        <v>15</v>
      </c>
      <c r="D140" t="s">
        <v>174</v>
      </c>
      <c r="E140" s="1">
        <v>150.435</v>
      </c>
      <c r="F140" s="2">
        <v>4252.75</v>
      </c>
      <c r="G140" s="7">
        <f t="shared" si="14"/>
        <v>639762.44625000004</v>
      </c>
      <c r="H140" s="7">
        <f t="shared" si="15"/>
        <v>752.17499999999995</v>
      </c>
      <c r="I140" s="7">
        <f t="shared" si="16"/>
        <v>640514.62125000008</v>
      </c>
      <c r="J140" s="7">
        <f t="shared" si="17"/>
        <v>225.9178018635001</v>
      </c>
      <c r="K140" s="3">
        <f t="shared" si="18"/>
        <v>4252.75</v>
      </c>
      <c r="L140" s="1">
        <f t="shared" si="19"/>
        <v>960771.93187500001</v>
      </c>
      <c r="M140" s="7">
        <f t="shared" si="20"/>
        <v>320257.31062499993</v>
      </c>
    </row>
    <row r="141" spans="1:13" x14ac:dyDescent="0.3">
      <c r="A141" t="s">
        <v>177</v>
      </c>
      <c r="B141" t="s">
        <v>113</v>
      </c>
      <c r="C141" t="s">
        <v>15</v>
      </c>
      <c r="D141" t="s">
        <v>174</v>
      </c>
      <c r="E141" s="1">
        <v>150.435</v>
      </c>
      <c r="F141" s="2">
        <v>4308.25</v>
      </c>
      <c r="G141" s="7">
        <f t="shared" si="14"/>
        <v>648111.58875</v>
      </c>
      <c r="H141" s="7">
        <f t="shared" si="15"/>
        <v>752.17499999999995</v>
      </c>
      <c r="I141" s="7">
        <f t="shared" si="16"/>
        <v>648863.76375000004</v>
      </c>
      <c r="J141" s="7">
        <f t="shared" si="17"/>
        <v>225.91438417570939</v>
      </c>
      <c r="K141" s="3">
        <f t="shared" si="18"/>
        <v>4308.25</v>
      </c>
      <c r="L141" s="1">
        <f t="shared" si="19"/>
        <v>973295.645625</v>
      </c>
      <c r="M141" s="7">
        <f t="shared" si="20"/>
        <v>324431.88187499996</v>
      </c>
    </row>
    <row r="142" spans="1:13" x14ac:dyDescent="0.3">
      <c r="A142" t="s">
        <v>178</v>
      </c>
      <c r="B142" t="s">
        <v>113</v>
      </c>
      <c r="C142" t="s">
        <v>15</v>
      </c>
      <c r="D142" t="s">
        <v>174</v>
      </c>
      <c r="E142" s="1">
        <v>150.435</v>
      </c>
      <c r="F142" s="2">
        <v>3813</v>
      </c>
      <c r="G142" s="7">
        <f t="shared" si="14"/>
        <v>573608.65500000003</v>
      </c>
      <c r="H142" s="7">
        <f t="shared" si="15"/>
        <v>752.17499999999995</v>
      </c>
      <c r="I142" s="7">
        <f t="shared" si="16"/>
        <v>574360.83000000007</v>
      </c>
      <c r="J142" s="7">
        <f t="shared" si="17"/>
        <v>225.9483988985051</v>
      </c>
      <c r="K142" s="3">
        <f t="shared" si="18"/>
        <v>3813</v>
      </c>
      <c r="L142" s="1">
        <f t="shared" si="19"/>
        <v>861541.245</v>
      </c>
      <c r="M142" s="7">
        <f t="shared" si="20"/>
        <v>287180.41499999992</v>
      </c>
    </row>
    <row r="143" spans="1:13" x14ac:dyDescent="0.3">
      <c r="A143" t="s">
        <v>179</v>
      </c>
      <c r="B143" t="s">
        <v>98</v>
      </c>
      <c r="C143" t="s">
        <v>15</v>
      </c>
      <c r="D143" t="s">
        <v>180</v>
      </c>
      <c r="E143" s="1">
        <v>13.4825</v>
      </c>
      <c r="F143" s="2">
        <v>4725.5</v>
      </c>
      <c r="G143" s="7">
        <f t="shared" si="14"/>
        <v>63711.553749999999</v>
      </c>
      <c r="H143" s="7">
        <f t="shared" si="15"/>
        <v>67.412499999999994</v>
      </c>
      <c r="I143" s="7">
        <f t="shared" si="16"/>
        <v>63778.966249999998</v>
      </c>
      <c r="J143" s="7">
        <f t="shared" si="17"/>
        <v>20.245148529256163</v>
      </c>
      <c r="K143" s="3">
        <f t="shared" si="18"/>
        <v>4725.5</v>
      </c>
      <c r="L143" s="1">
        <f t="shared" si="19"/>
        <v>95668.449374999997</v>
      </c>
      <c r="M143" s="7">
        <f t="shared" si="20"/>
        <v>31889.483124999999</v>
      </c>
    </row>
    <row r="144" spans="1:13" x14ac:dyDescent="0.3">
      <c r="A144" t="s">
        <v>181</v>
      </c>
      <c r="B144" t="s">
        <v>84</v>
      </c>
      <c r="C144" t="s">
        <v>15</v>
      </c>
      <c r="D144" t="s">
        <v>174</v>
      </c>
      <c r="E144" s="1">
        <v>49.962499999999999</v>
      </c>
      <c r="F144" s="2">
        <v>4888</v>
      </c>
      <c r="G144" s="7">
        <f t="shared" si="14"/>
        <v>244216.69999999998</v>
      </c>
      <c r="H144" s="7">
        <f t="shared" si="15"/>
        <v>249.8125</v>
      </c>
      <c r="I144" s="7">
        <f t="shared" si="16"/>
        <v>244466.51249999998</v>
      </c>
      <c r="J144" s="7">
        <f t="shared" si="17"/>
        <v>75.020410955400976</v>
      </c>
      <c r="K144" s="3">
        <f t="shared" si="18"/>
        <v>4888</v>
      </c>
      <c r="L144" s="1">
        <f t="shared" si="19"/>
        <v>366699.76874999999</v>
      </c>
      <c r="M144" s="7">
        <f t="shared" si="20"/>
        <v>122233.25625000001</v>
      </c>
    </row>
    <row r="145" spans="1:13" x14ac:dyDescent="0.3">
      <c r="A145" t="s">
        <v>182</v>
      </c>
      <c r="B145" t="s">
        <v>98</v>
      </c>
      <c r="C145" t="s">
        <v>15</v>
      </c>
      <c r="D145" t="s">
        <v>22</v>
      </c>
      <c r="E145" s="1">
        <v>49.844999999999999</v>
      </c>
      <c r="F145" s="2">
        <v>4977.25</v>
      </c>
      <c r="G145" s="7">
        <f t="shared" si="14"/>
        <v>248091.02625</v>
      </c>
      <c r="H145" s="7">
        <f t="shared" si="15"/>
        <v>249.22499999999999</v>
      </c>
      <c r="I145" s="7">
        <f t="shared" si="16"/>
        <v>248340.25125</v>
      </c>
      <c r="J145" s="7">
        <f t="shared" si="17"/>
        <v>74.842609247074193</v>
      </c>
      <c r="K145" s="3">
        <f t="shared" si="18"/>
        <v>4977.25</v>
      </c>
      <c r="L145" s="1">
        <f t="shared" si="19"/>
        <v>372510.37687500002</v>
      </c>
      <c r="M145" s="7">
        <f t="shared" si="20"/>
        <v>124170.12562500002</v>
      </c>
    </row>
    <row r="146" spans="1:13" x14ac:dyDescent="0.3">
      <c r="A146" t="s">
        <v>183</v>
      </c>
      <c r="B146" t="s">
        <v>98</v>
      </c>
      <c r="C146" t="s">
        <v>15</v>
      </c>
      <c r="D146" t="s">
        <v>22</v>
      </c>
      <c r="E146" s="1">
        <v>49.844999999999999</v>
      </c>
      <c r="F146" s="2">
        <v>4607.5</v>
      </c>
      <c r="G146" s="7">
        <f t="shared" si="14"/>
        <v>229660.83749999999</v>
      </c>
      <c r="H146" s="7">
        <f t="shared" si="15"/>
        <v>249.22499999999999</v>
      </c>
      <c r="I146" s="7">
        <f t="shared" si="16"/>
        <v>229910.0625</v>
      </c>
      <c r="J146" s="7">
        <f t="shared" si="17"/>
        <v>74.848636733586545</v>
      </c>
      <c r="K146" s="3">
        <f t="shared" si="18"/>
        <v>4607.5</v>
      </c>
      <c r="L146" s="1">
        <f t="shared" si="19"/>
        <v>344865.09375</v>
      </c>
      <c r="M146" s="7">
        <f t="shared" si="20"/>
        <v>114955.03125</v>
      </c>
    </row>
    <row r="147" spans="1:13" x14ac:dyDescent="0.3">
      <c r="A147" t="s">
        <v>184</v>
      </c>
      <c r="B147" t="s">
        <v>98</v>
      </c>
      <c r="C147" t="s">
        <v>15</v>
      </c>
      <c r="D147" t="s">
        <v>22</v>
      </c>
      <c r="E147" s="1">
        <v>49.844999999999999</v>
      </c>
      <c r="F147" s="2">
        <v>4099.75</v>
      </c>
      <c r="G147" s="7">
        <f t="shared" si="14"/>
        <v>204352.03875000001</v>
      </c>
      <c r="H147" s="7">
        <f t="shared" si="15"/>
        <v>249.22499999999999</v>
      </c>
      <c r="I147" s="7">
        <f t="shared" si="16"/>
        <v>204601.26375000001</v>
      </c>
      <c r="J147" s="7">
        <f t="shared" si="17"/>
        <v>74.858685438136462</v>
      </c>
      <c r="K147" s="3">
        <f t="shared" si="18"/>
        <v>4099.75</v>
      </c>
      <c r="L147" s="1">
        <f t="shared" si="19"/>
        <v>306901.89562499995</v>
      </c>
      <c r="M147" s="7">
        <f t="shared" si="20"/>
        <v>102300.63187499993</v>
      </c>
    </row>
    <row r="148" spans="1:13" x14ac:dyDescent="0.3">
      <c r="A148" t="s">
        <v>185</v>
      </c>
      <c r="B148" t="s">
        <v>98</v>
      </c>
      <c r="C148" t="s">
        <v>15</v>
      </c>
      <c r="D148" t="s">
        <v>186</v>
      </c>
      <c r="E148" s="1">
        <v>11.8225</v>
      </c>
      <c r="F148" s="2">
        <v>3897</v>
      </c>
      <c r="G148" s="7">
        <f t="shared" si="14"/>
        <v>46072.282500000001</v>
      </c>
      <c r="H148" s="7">
        <f t="shared" si="15"/>
        <v>59.112499999999997</v>
      </c>
      <c r="I148" s="7">
        <f t="shared" si="16"/>
        <v>46131.395000000004</v>
      </c>
      <c r="J148" s="7">
        <f t="shared" si="17"/>
        <v>17.756503079291765</v>
      </c>
      <c r="K148" s="3">
        <f t="shared" si="18"/>
        <v>3897</v>
      </c>
      <c r="L148" s="1">
        <f t="shared" si="19"/>
        <v>69197.092500000013</v>
      </c>
      <c r="M148" s="7">
        <f t="shared" si="20"/>
        <v>23065.697500000009</v>
      </c>
    </row>
    <row r="149" spans="1:13" x14ac:dyDescent="0.3">
      <c r="A149" t="s">
        <v>187</v>
      </c>
      <c r="B149" t="s">
        <v>117</v>
      </c>
      <c r="C149" t="s">
        <v>15</v>
      </c>
      <c r="D149" t="s">
        <v>188</v>
      </c>
      <c r="E149" s="1">
        <v>3.01</v>
      </c>
      <c r="F149" s="2">
        <v>4918.25</v>
      </c>
      <c r="G149" s="7">
        <f t="shared" si="14"/>
        <v>14803.932499999999</v>
      </c>
      <c r="H149" s="7">
        <f t="shared" si="15"/>
        <v>15.049999999999999</v>
      </c>
      <c r="I149" s="7">
        <f t="shared" si="16"/>
        <v>14818.982499999998</v>
      </c>
      <c r="J149" s="7">
        <f t="shared" si="17"/>
        <v>4.5195900472729118</v>
      </c>
      <c r="K149" s="3">
        <f t="shared" si="18"/>
        <v>4918.25</v>
      </c>
      <c r="L149" s="1">
        <f t="shared" si="19"/>
        <v>22228.473749999997</v>
      </c>
      <c r="M149" s="7">
        <f t="shared" si="20"/>
        <v>7409.4912499999991</v>
      </c>
    </row>
    <row r="150" spans="1:13" x14ac:dyDescent="0.3">
      <c r="A150" t="s">
        <v>189</v>
      </c>
      <c r="B150" t="s">
        <v>117</v>
      </c>
      <c r="C150" t="s">
        <v>15</v>
      </c>
      <c r="D150" t="s">
        <v>188</v>
      </c>
      <c r="E150" s="1">
        <v>4.3449999999999998</v>
      </c>
      <c r="F150" s="2">
        <v>4110.25</v>
      </c>
      <c r="G150" s="7">
        <f t="shared" si="14"/>
        <v>17859.036249999997</v>
      </c>
      <c r="H150" s="7">
        <f t="shared" si="15"/>
        <v>21.724999999999998</v>
      </c>
      <c r="I150" s="7">
        <f t="shared" si="16"/>
        <v>17880.761249999996</v>
      </c>
      <c r="J150" s="7">
        <f t="shared" si="17"/>
        <v>6.525428349857064</v>
      </c>
      <c r="K150" s="3">
        <f t="shared" si="18"/>
        <v>4110.25</v>
      </c>
      <c r="L150" s="1">
        <f t="shared" si="19"/>
        <v>26821.141874999998</v>
      </c>
      <c r="M150" s="7">
        <f t="shared" si="20"/>
        <v>8940.3806250000016</v>
      </c>
    </row>
    <row r="151" spans="1:13" x14ac:dyDescent="0.3">
      <c r="A151" t="s">
        <v>190</v>
      </c>
      <c r="B151" t="s">
        <v>117</v>
      </c>
      <c r="C151" t="s">
        <v>15</v>
      </c>
      <c r="D151" t="s">
        <v>188</v>
      </c>
      <c r="E151" s="1">
        <v>5.8425000000000002</v>
      </c>
      <c r="F151" s="2">
        <v>3830.75</v>
      </c>
      <c r="G151" s="7">
        <f t="shared" si="14"/>
        <v>22381.156875000001</v>
      </c>
      <c r="H151" s="7">
        <f t="shared" si="15"/>
        <v>29.212500000000002</v>
      </c>
      <c r="I151" s="7">
        <f t="shared" si="16"/>
        <v>22410.369375000002</v>
      </c>
      <c r="J151" s="7">
        <f t="shared" si="17"/>
        <v>8.7751886869412008</v>
      </c>
      <c r="K151" s="3">
        <f t="shared" si="18"/>
        <v>3830.75</v>
      </c>
      <c r="L151" s="1">
        <f t="shared" si="19"/>
        <v>33615.554062500007</v>
      </c>
      <c r="M151" s="7">
        <f t="shared" si="20"/>
        <v>11205.184687500005</v>
      </c>
    </row>
    <row r="152" spans="1:13" x14ac:dyDescent="0.3">
      <c r="A152" t="s">
        <v>191</v>
      </c>
      <c r="B152" t="s">
        <v>117</v>
      </c>
      <c r="C152" t="s">
        <v>15</v>
      </c>
      <c r="D152" t="s">
        <v>188</v>
      </c>
      <c r="E152" s="1">
        <v>3.01</v>
      </c>
      <c r="F152" s="2">
        <v>3934.75</v>
      </c>
      <c r="G152" s="7">
        <f t="shared" si="14"/>
        <v>11843.5975</v>
      </c>
      <c r="H152" s="7">
        <f t="shared" si="15"/>
        <v>15.049999999999999</v>
      </c>
      <c r="I152" s="7">
        <f t="shared" si="16"/>
        <v>11858.647499999999</v>
      </c>
      <c r="J152" s="7">
        <f t="shared" si="17"/>
        <v>4.5207373403646987</v>
      </c>
      <c r="K152" s="3">
        <f t="shared" si="18"/>
        <v>3934.75</v>
      </c>
      <c r="L152" s="1">
        <f t="shared" si="19"/>
        <v>17787.971249999999</v>
      </c>
      <c r="M152" s="7">
        <f t="shared" si="20"/>
        <v>5929.3237499999996</v>
      </c>
    </row>
    <row r="153" spans="1:13" x14ac:dyDescent="0.3">
      <c r="A153" t="s">
        <v>192</v>
      </c>
      <c r="B153" t="s">
        <v>117</v>
      </c>
      <c r="C153" t="s">
        <v>15</v>
      </c>
      <c r="D153" t="s">
        <v>188</v>
      </c>
      <c r="E153" s="1">
        <v>4.3449999999999998</v>
      </c>
      <c r="F153" s="2">
        <v>4306</v>
      </c>
      <c r="G153" s="7">
        <f t="shared" si="14"/>
        <v>18709.57</v>
      </c>
      <c r="H153" s="7">
        <f t="shared" si="15"/>
        <v>21.724999999999998</v>
      </c>
      <c r="I153" s="7">
        <f t="shared" si="16"/>
        <v>18731.294999999998</v>
      </c>
      <c r="J153" s="7">
        <f t="shared" si="17"/>
        <v>6.5250679284718984</v>
      </c>
      <c r="K153" s="3">
        <f t="shared" si="18"/>
        <v>4306</v>
      </c>
      <c r="L153" s="1">
        <f t="shared" si="19"/>
        <v>28096.942499999994</v>
      </c>
      <c r="M153" s="7">
        <f t="shared" si="20"/>
        <v>9365.6474999999955</v>
      </c>
    </row>
    <row r="154" spans="1:13" x14ac:dyDescent="0.3">
      <c r="A154" t="s">
        <v>193</v>
      </c>
      <c r="B154" t="s">
        <v>117</v>
      </c>
      <c r="C154" t="s">
        <v>15</v>
      </c>
      <c r="D154" t="s">
        <v>188</v>
      </c>
      <c r="E154" s="1">
        <v>5.8425000000000002</v>
      </c>
      <c r="F154" s="2">
        <v>4266.5</v>
      </c>
      <c r="G154" s="7">
        <f t="shared" si="14"/>
        <v>24927.026250000003</v>
      </c>
      <c r="H154" s="7">
        <f t="shared" si="15"/>
        <v>29.212500000000002</v>
      </c>
      <c r="I154" s="7">
        <f t="shared" si="16"/>
        <v>24956.238750000004</v>
      </c>
      <c r="J154" s="7">
        <f t="shared" si="17"/>
        <v>8.7740204207195607</v>
      </c>
      <c r="K154" s="3">
        <f t="shared" si="18"/>
        <v>4266.5</v>
      </c>
      <c r="L154" s="1">
        <f t="shared" si="19"/>
        <v>37434.358125000006</v>
      </c>
      <c r="M154" s="7">
        <f t="shared" si="20"/>
        <v>12478.119375000002</v>
      </c>
    </row>
    <row r="155" spans="1:13" x14ac:dyDescent="0.3">
      <c r="A155" t="s">
        <v>194</v>
      </c>
      <c r="B155" t="s">
        <v>117</v>
      </c>
      <c r="C155" t="s">
        <v>15</v>
      </c>
      <c r="D155" t="s">
        <v>188</v>
      </c>
      <c r="E155" s="1">
        <v>3.01</v>
      </c>
      <c r="F155" s="2">
        <v>4858</v>
      </c>
      <c r="G155" s="7">
        <f t="shared" si="14"/>
        <v>14622.579999999998</v>
      </c>
      <c r="H155" s="7">
        <f t="shared" si="15"/>
        <v>15.049999999999999</v>
      </c>
      <c r="I155" s="7">
        <f t="shared" si="16"/>
        <v>14637.629999999997</v>
      </c>
      <c r="J155" s="7">
        <f t="shared" si="17"/>
        <v>4.5196469740634004</v>
      </c>
      <c r="K155" s="3">
        <f t="shared" si="18"/>
        <v>4858</v>
      </c>
      <c r="L155" s="1">
        <f t="shared" si="19"/>
        <v>21956.445</v>
      </c>
      <c r="M155" s="7">
        <f t="shared" si="20"/>
        <v>7318.8150000000023</v>
      </c>
    </row>
    <row r="156" spans="1:13" x14ac:dyDescent="0.3">
      <c r="A156" t="s">
        <v>195</v>
      </c>
      <c r="B156" t="s">
        <v>117</v>
      </c>
      <c r="C156" t="s">
        <v>15</v>
      </c>
      <c r="D156" t="s">
        <v>188</v>
      </c>
      <c r="E156" s="1">
        <v>4.3449999999999998</v>
      </c>
      <c r="F156" s="2">
        <v>4543.75</v>
      </c>
      <c r="G156" s="7">
        <f t="shared" si="14"/>
        <v>19742.59375</v>
      </c>
      <c r="H156" s="7">
        <f t="shared" si="15"/>
        <v>21.724999999999998</v>
      </c>
      <c r="I156" s="7">
        <f t="shared" si="16"/>
        <v>19764.318749999999</v>
      </c>
      <c r="J156" s="7">
        <f t="shared" si="17"/>
        <v>6.5246719394773045</v>
      </c>
      <c r="K156" s="3">
        <f t="shared" si="18"/>
        <v>4543.75</v>
      </c>
      <c r="L156" s="1">
        <f t="shared" si="19"/>
        <v>29646.478125000001</v>
      </c>
      <c r="M156" s="7">
        <f t="shared" si="20"/>
        <v>9882.1593750000029</v>
      </c>
    </row>
    <row r="157" spans="1:13" x14ac:dyDescent="0.3">
      <c r="A157" t="s">
        <v>196</v>
      </c>
      <c r="B157" t="s">
        <v>117</v>
      </c>
      <c r="C157" t="s">
        <v>15</v>
      </c>
      <c r="D157" t="s">
        <v>188</v>
      </c>
      <c r="E157" s="1">
        <v>5.8425000000000002</v>
      </c>
      <c r="F157" s="2">
        <v>4152.5</v>
      </c>
      <c r="G157" s="7">
        <f t="shared" si="14"/>
        <v>24260.981250000001</v>
      </c>
      <c r="H157" s="7">
        <f t="shared" si="15"/>
        <v>29.212500000000002</v>
      </c>
      <c r="I157" s="7">
        <f t="shared" si="16"/>
        <v>24290.193750000002</v>
      </c>
      <c r="J157" s="7">
        <f t="shared" si="17"/>
        <v>8.7743023780854905</v>
      </c>
      <c r="K157" s="3">
        <f t="shared" si="18"/>
        <v>4152.5</v>
      </c>
      <c r="L157" s="1">
        <f t="shared" si="19"/>
        <v>36435.290625000001</v>
      </c>
      <c r="M157" s="7">
        <f t="shared" si="20"/>
        <v>12145.096874999999</v>
      </c>
    </row>
    <row r="158" spans="1:13" x14ac:dyDescent="0.3">
      <c r="A158" t="s">
        <v>197</v>
      </c>
      <c r="B158" t="s">
        <v>98</v>
      </c>
      <c r="C158" t="s">
        <v>15</v>
      </c>
      <c r="D158" t="s">
        <v>22</v>
      </c>
      <c r="E158" s="1">
        <v>36.147500000000001</v>
      </c>
      <c r="F158" s="2">
        <v>4475.75</v>
      </c>
      <c r="G158" s="7">
        <f t="shared" si="14"/>
        <v>161787.173125</v>
      </c>
      <c r="H158" s="7">
        <f t="shared" si="15"/>
        <v>180.73750000000001</v>
      </c>
      <c r="I158" s="7">
        <f t="shared" si="16"/>
        <v>161967.91062499999</v>
      </c>
      <c r="J158" s="7">
        <f t="shared" si="17"/>
        <v>54.28182225046082</v>
      </c>
      <c r="K158" s="3">
        <f t="shared" si="18"/>
        <v>4475.75</v>
      </c>
      <c r="L158" s="1">
        <f t="shared" si="19"/>
        <v>242951.86593750003</v>
      </c>
      <c r="M158" s="7">
        <f t="shared" si="20"/>
        <v>80983.955312500038</v>
      </c>
    </row>
    <row r="159" spans="1:13" x14ac:dyDescent="0.3">
      <c r="A159" t="s">
        <v>198</v>
      </c>
      <c r="B159" t="s">
        <v>98</v>
      </c>
      <c r="C159" t="s">
        <v>15</v>
      </c>
      <c r="D159" t="s">
        <v>22</v>
      </c>
      <c r="E159" s="1">
        <v>36.147500000000001</v>
      </c>
      <c r="F159" s="2">
        <v>4877.5</v>
      </c>
      <c r="G159" s="7">
        <f t="shared" si="14"/>
        <v>176309.43124999999</v>
      </c>
      <c r="H159" s="7">
        <f t="shared" si="15"/>
        <v>180.73750000000001</v>
      </c>
      <c r="I159" s="7">
        <f t="shared" si="16"/>
        <v>176490.16874999998</v>
      </c>
      <c r="J159" s="7">
        <f t="shared" si="17"/>
        <v>54.276833034341365</v>
      </c>
      <c r="K159" s="3">
        <f t="shared" si="18"/>
        <v>4877.5</v>
      </c>
      <c r="L159" s="1">
        <f t="shared" si="19"/>
        <v>264735.25312499999</v>
      </c>
      <c r="M159" s="7">
        <f t="shared" si="20"/>
        <v>88245.084375000006</v>
      </c>
    </row>
    <row r="160" spans="1:13" x14ac:dyDescent="0.3">
      <c r="A160" t="s">
        <v>199</v>
      </c>
      <c r="B160" t="s">
        <v>98</v>
      </c>
      <c r="C160" t="s">
        <v>15</v>
      </c>
      <c r="D160" t="s">
        <v>22</v>
      </c>
      <c r="E160" s="1">
        <v>36.147500000000001</v>
      </c>
      <c r="F160" s="2">
        <v>4568.25</v>
      </c>
      <c r="G160" s="7">
        <f t="shared" si="14"/>
        <v>165130.81687499999</v>
      </c>
      <c r="H160" s="7">
        <f t="shared" si="15"/>
        <v>180.73750000000001</v>
      </c>
      <c r="I160" s="7">
        <f t="shared" si="16"/>
        <v>165311.55437499998</v>
      </c>
      <c r="J160" s="7">
        <f t="shared" si="17"/>
        <v>54.280595756033492</v>
      </c>
      <c r="K160" s="3">
        <f t="shared" si="18"/>
        <v>4568.25</v>
      </c>
      <c r="L160" s="1">
        <f t="shared" si="19"/>
        <v>247967.33156250001</v>
      </c>
      <c r="M160" s="7">
        <f t="shared" si="20"/>
        <v>82655.777187500033</v>
      </c>
    </row>
    <row r="161" spans="1:13" x14ac:dyDescent="0.3">
      <c r="A161" t="s">
        <v>200</v>
      </c>
      <c r="B161" t="s">
        <v>98</v>
      </c>
      <c r="C161" t="s">
        <v>15</v>
      </c>
      <c r="D161" t="s">
        <v>22</v>
      </c>
      <c r="E161" s="1">
        <v>36.147500000000001</v>
      </c>
      <c r="F161" s="2">
        <v>3766.75</v>
      </c>
      <c r="G161" s="7">
        <f t="shared" si="14"/>
        <v>136158.59562500002</v>
      </c>
      <c r="H161" s="7">
        <f t="shared" si="15"/>
        <v>180.73750000000001</v>
      </c>
      <c r="I161" s="7">
        <f t="shared" si="16"/>
        <v>136339.333125</v>
      </c>
      <c r="J161" s="7">
        <f t="shared" si="17"/>
        <v>54.293223518284996</v>
      </c>
      <c r="K161" s="3">
        <f t="shared" si="18"/>
        <v>3766.75</v>
      </c>
      <c r="L161" s="1">
        <f t="shared" si="19"/>
        <v>204508.99968750001</v>
      </c>
      <c r="M161" s="7">
        <f t="shared" si="20"/>
        <v>68169.666562500002</v>
      </c>
    </row>
    <row r="162" spans="1:13" x14ac:dyDescent="0.3">
      <c r="A162" t="s">
        <v>201</v>
      </c>
      <c r="B162" t="s">
        <v>117</v>
      </c>
      <c r="C162" t="s">
        <v>18</v>
      </c>
      <c r="D162" t="s">
        <v>156</v>
      </c>
      <c r="E162" s="1">
        <v>0.46750000000000003</v>
      </c>
      <c r="F162" s="2">
        <v>4745.25</v>
      </c>
      <c r="G162" s="7">
        <f t="shared" si="14"/>
        <v>2218.4043750000001</v>
      </c>
      <c r="H162" s="7">
        <f t="shared" si="15"/>
        <v>2.3375000000000004</v>
      </c>
      <c r="I162" s="7">
        <f t="shared" si="16"/>
        <v>2220.7418750000002</v>
      </c>
      <c r="J162" s="7">
        <f t="shared" si="17"/>
        <v>0.70198889679152843</v>
      </c>
      <c r="K162" s="3">
        <f t="shared" si="18"/>
        <v>4745.25</v>
      </c>
      <c r="L162" s="1">
        <f t="shared" si="19"/>
        <v>3331.1128125000005</v>
      </c>
      <c r="M162" s="7">
        <f t="shared" si="20"/>
        <v>1110.3709375000003</v>
      </c>
    </row>
    <row r="163" spans="1:13" x14ac:dyDescent="0.3">
      <c r="A163" t="s">
        <v>202</v>
      </c>
      <c r="B163" t="s">
        <v>117</v>
      </c>
      <c r="C163" t="s">
        <v>18</v>
      </c>
      <c r="D163" t="s">
        <v>156</v>
      </c>
      <c r="E163" s="1">
        <v>0.3725</v>
      </c>
      <c r="F163" s="2">
        <v>4184.75</v>
      </c>
      <c r="G163" s="7">
        <f t="shared" si="14"/>
        <v>1558.819375</v>
      </c>
      <c r="H163" s="7">
        <f t="shared" si="15"/>
        <v>1.8625</v>
      </c>
      <c r="I163" s="7">
        <f t="shared" si="16"/>
        <v>1560.681875</v>
      </c>
      <c r="J163" s="7">
        <f t="shared" si="17"/>
        <v>0.55941760260469564</v>
      </c>
      <c r="K163" s="3">
        <f t="shared" si="18"/>
        <v>4184.75</v>
      </c>
      <c r="L163" s="1">
        <f t="shared" si="19"/>
        <v>2341.0228124999999</v>
      </c>
      <c r="M163" s="7">
        <f t="shared" si="20"/>
        <v>780.34093749999988</v>
      </c>
    </row>
    <row r="164" spans="1:13" x14ac:dyDescent="0.3">
      <c r="A164" t="s">
        <v>203</v>
      </c>
      <c r="B164" t="s">
        <v>117</v>
      </c>
      <c r="C164" t="s">
        <v>18</v>
      </c>
      <c r="D164" t="s">
        <v>156</v>
      </c>
      <c r="E164" s="1">
        <v>0.46750000000000003</v>
      </c>
      <c r="F164" s="2">
        <v>3943.75</v>
      </c>
      <c r="G164" s="7">
        <f t="shared" si="14"/>
        <v>1843.703125</v>
      </c>
      <c r="H164" s="7">
        <f t="shared" si="15"/>
        <v>2.3375000000000004</v>
      </c>
      <c r="I164" s="7">
        <f t="shared" si="16"/>
        <v>1846.0406250000001</v>
      </c>
      <c r="J164" s="7">
        <f t="shared" si="17"/>
        <v>0.70213906497622824</v>
      </c>
      <c r="K164" s="3">
        <f t="shared" si="18"/>
        <v>3943.75</v>
      </c>
      <c r="L164" s="1">
        <f t="shared" si="19"/>
        <v>2769.0609375000004</v>
      </c>
      <c r="M164" s="7">
        <f t="shared" si="20"/>
        <v>923.02031250000027</v>
      </c>
    </row>
    <row r="165" spans="1:13" x14ac:dyDescent="0.3">
      <c r="A165" t="s">
        <v>204</v>
      </c>
      <c r="B165" t="s">
        <v>117</v>
      </c>
      <c r="C165" t="s">
        <v>18</v>
      </c>
      <c r="D165" t="s">
        <v>156</v>
      </c>
      <c r="E165" s="1">
        <v>2.3374999999999999</v>
      </c>
      <c r="F165" s="2">
        <v>4494</v>
      </c>
      <c r="G165" s="7">
        <f t="shared" si="14"/>
        <v>10504.725</v>
      </c>
      <c r="H165" s="7">
        <f t="shared" si="15"/>
        <v>11.6875</v>
      </c>
      <c r="I165" s="7">
        <f t="shared" si="16"/>
        <v>10516.4125</v>
      </c>
      <c r="J165" s="7">
        <f t="shared" si="17"/>
        <v>3.5101510347129508</v>
      </c>
      <c r="K165" s="3">
        <f t="shared" si="18"/>
        <v>4494</v>
      </c>
      <c r="L165" s="1">
        <f t="shared" si="19"/>
        <v>15774.618750000001</v>
      </c>
      <c r="M165" s="7">
        <f t="shared" si="20"/>
        <v>5258.2062500000011</v>
      </c>
    </row>
    <row r="166" spans="1:13" x14ac:dyDescent="0.3">
      <c r="A166" t="s">
        <v>205</v>
      </c>
      <c r="B166" t="s">
        <v>117</v>
      </c>
      <c r="C166" t="s">
        <v>18</v>
      </c>
      <c r="D166" t="s">
        <v>156</v>
      </c>
      <c r="E166" s="1">
        <v>2.8050000000000002</v>
      </c>
      <c r="F166" s="2">
        <v>3786.5</v>
      </c>
      <c r="G166" s="7">
        <f t="shared" si="14"/>
        <v>10621.1325</v>
      </c>
      <c r="H166" s="7">
        <f t="shared" si="15"/>
        <v>14.025</v>
      </c>
      <c r="I166" s="7">
        <f t="shared" si="16"/>
        <v>10635.157499999999</v>
      </c>
      <c r="J166" s="7">
        <f t="shared" si="17"/>
        <v>4.2130559223557373</v>
      </c>
      <c r="K166" s="3">
        <f t="shared" si="18"/>
        <v>3786.5</v>
      </c>
      <c r="L166" s="1">
        <f t="shared" si="19"/>
        <v>15952.73625</v>
      </c>
      <c r="M166" s="7">
        <f t="shared" si="20"/>
        <v>5317.5787500000006</v>
      </c>
    </row>
    <row r="167" spans="1:13" x14ac:dyDescent="0.3">
      <c r="A167" t="s">
        <v>206</v>
      </c>
      <c r="B167" t="s">
        <v>117</v>
      </c>
      <c r="C167" t="s">
        <v>18</v>
      </c>
      <c r="D167" t="s">
        <v>156</v>
      </c>
      <c r="E167" s="1">
        <v>3.2725</v>
      </c>
      <c r="F167" s="2">
        <v>4230.75</v>
      </c>
      <c r="G167" s="7">
        <f t="shared" si="14"/>
        <v>13845.129375</v>
      </c>
      <c r="H167" s="7">
        <f t="shared" si="15"/>
        <v>16.362500000000001</v>
      </c>
      <c r="I167" s="7">
        <f t="shared" si="16"/>
        <v>13861.491875</v>
      </c>
      <c r="J167" s="7">
        <f t="shared" si="17"/>
        <v>4.9145512763694379</v>
      </c>
      <c r="K167" s="3">
        <f t="shared" si="18"/>
        <v>4230.75</v>
      </c>
      <c r="L167" s="1">
        <f t="shared" si="19"/>
        <v>20792.2378125</v>
      </c>
      <c r="M167" s="7">
        <f t="shared" si="20"/>
        <v>6930.7459374999999</v>
      </c>
    </row>
    <row r="168" spans="1:13" x14ac:dyDescent="0.3">
      <c r="A168" t="s">
        <v>207</v>
      </c>
      <c r="B168" t="s">
        <v>117</v>
      </c>
      <c r="C168" t="s">
        <v>18</v>
      </c>
      <c r="D168" t="s">
        <v>156</v>
      </c>
      <c r="E168" s="1">
        <v>2.0099999999999998</v>
      </c>
      <c r="F168" s="2">
        <v>4832.25</v>
      </c>
      <c r="G168" s="7">
        <f t="shared" si="14"/>
        <v>9712.8224999999984</v>
      </c>
      <c r="H168" s="7">
        <f t="shared" si="15"/>
        <v>10.049999999999999</v>
      </c>
      <c r="I168" s="7">
        <f t="shared" si="16"/>
        <v>9722.8724999999977</v>
      </c>
      <c r="J168" s="7">
        <f t="shared" si="17"/>
        <v>3.0181196647524446</v>
      </c>
      <c r="K168" s="3">
        <f t="shared" si="18"/>
        <v>4832.25</v>
      </c>
      <c r="L168" s="1">
        <f t="shared" si="19"/>
        <v>14584.30875</v>
      </c>
      <c r="M168" s="7">
        <f t="shared" si="20"/>
        <v>4861.4362500000025</v>
      </c>
    </row>
    <row r="169" spans="1:13" x14ac:dyDescent="0.3">
      <c r="A169" t="s">
        <v>208</v>
      </c>
      <c r="B169" t="s">
        <v>117</v>
      </c>
      <c r="C169" t="s">
        <v>18</v>
      </c>
      <c r="D169" t="s">
        <v>156</v>
      </c>
      <c r="E169" s="1">
        <v>2.3374999999999999</v>
      </c>
      <c r="F169" s="2">
        <v>4809.5</v>
      </c>
      <c r="G169" s="7">
        <f t="shared" si="14"/>
        <v>11242.206249999999</v>
      </c>
      <c r="H169" s="7">
        <f t="shared" si="15"/>
        <v>11.6875</v>
      </c>
      <c r="I169" s="7">
        <f t="shared" si="16"/>
        <v>11253.893749999999</v>
      </c>
      <c r="J169" s="7">
        <f t="shared" si="17"/>
        <v>3.5098951294313334</v>
      </c>
      <c r="K169" s="3">
        <f t="shared" si="18"/>
        <v>4809.5</v>
      </c>
      <c r="L169" s="1">
        <f t="shared" si="19"/>
        <v>16880.840624999997</v>
      </c>
      <c r="M169" s="7">
        <f t="shared" si="20"/>
        <v>5626.9468749999978</v>
      </c>
    </row>
    <row r="170" spans="1:13" x14ac:dyDescent="0.3">
      <c r="A170" t="s">
        <v>209</v>
      </c>
      <c r="B170" t="s">
        <v>117</v>
      </c>
      <c r="C170" t="s">
        <v>18</v>
      </c>
      <c r="D170" t="s">
        <v>156</v>
      </c>
      <c r="E170" s="1">
        <v>3.0474999999999999</v>
      </c>
      <c r="F170" s="2">
        <v>4893.25</v>
      </c>
      <c r="G170" s="7">
        <f t="shared" si="14"/>
        <v>14912.179375</v>
      </c>
      <c r="H170" s="7">
        <f t="shared" si="15"/>
        <v>15.237499999999999</v>
      </c>
      <c r="I170" s="7">
        <f t="shared" si="16"/>
        <v>14927.416874999999</v>
      </c>
      <c r="J170" s="7">
        <f t="shared" si="17"/>
        <v>4.5759209753231493</v>
      </c>
      <c r="K170" s="3">
        <f t="shared" si="18"/>
        <v>4893.25</v>
      </c>
      <c r="L170" s="1">
        <f t="shared" si="19"/>
        <v>22391.1253125</v>
      </c>
      <c r="M170" s="7">
        <f t="shared" si="20"/>
        <v>7463.7084375000013</v>
      </c>
    </row>
    <row r="171" spans="1:13" x14ac:dyDescent="0.3">
      <c r="A171" t="s">
        <v>210</v>
      </c>
      <c r="B171" t="s">
        <v>117</v>
      </c>
      <c r="C171" t="s">
        <v>18</v>
      </c>
      <c r="D171" t="s">
        <v>156</v>
      </c>
      <c r="E171" s="1">
        <v>2.71</v>
      </c>
      <c r="F171" s="2">
        <v>3940.25</v>
      </c>
      <c r="G171" s="7">
        <f t="shared" si="14"/>
        <v>10678.077499999999</v>
      </c>
      <c r="H171" s="7">
        <f t="shared" si="15"/>
        <v>13.55</v>
      </c>
      <c r="I171" s="7">
        <f t="shared" si="16"/>
        <v>10691.627499999999</v>
      </c>
      <c r="J171" s="7">
        <f t="shared" si="17"/>
        <v>4.0701583021381893</v>
      </c>
      <c r="K171" s="3">
        <f t="shared" si="18"/>
        <v>3940.25</v>
      </c>
      <c r="L171" s="1">
        <f t="shared" si="19"/>
        <v>16037.44125</v>
      </c>
      <c r="M171" s="7">
        <f t="shared" si="20"/>
        <v>5345.8137500000012</v>
      </c>
    </row>
    <row r="172" spans="1:13" x14ac:dyDescent="0.3">
      <c r="A172" t="s">
        <v>211</v>
      </c>
      <c r="B172" t="s">
        <v>212</v>
      </c>
      <c r="C172" t="s">
        <v>15</v>
      </c>
      <c r="D172" t="s">
        <v>213</v>
      </c>
      <c r="E172" s="1">
        <v>4.4950000000000001</v>
      </c>
      <c r="F172" s="2">
        <v>4901.5</v>
      </c>
      <c r="G172" s="7">
        <f t="shared" si="14"/>
        <v>22032.2425</v>
      </c>
      <c r="H172" s="7">
        <f t="shared" si="15"/>
        <v>22.475000000000001</v>
      </c>
      <c r="I172" s="7">
        <f t="shared" si="16"/>
        <v>22054.717499999999</v>
      </c>
      <c r="J172" s="7">
        <f t="shared" si="17"/>
        <v>6.749377996531674</v>
      </c>
      <c r="K172" s="3">
        <f t="shared" si="18"/>
        <v>4901.5</v>
      </c>
      <c r="L172" s="1">
        <f t="shared" si="19"/>
        <v>33082.076249999998</v>
      </c>
      <c r="M172" s="7">
        <f t="shared" si="20"/>
        <v>11027.358749999999</v>
      </c>
    </row>
    <row r="173" spans="1:13" x14ac:dyDescent="0.3">
      <c r="A173" t="s">
        <v>214</v>
      </c>
      <c r="B173" t="s">
        <v>212</v>
      </c>
      <c r="C173" t="s">
        <v>15</v>
      </c>
      <c r="D173" t="s">
        <v>213</v>
      </c>
      <c r="E173" s="1">
        <v>6.8925000000000001</v>
      </c>
      <c r="F173" s="2">
        <v>4552.75</v>
      </c>
      <c r="G173" s="7">
        <f t="shared" si="14"/>
        <v>31379.829375000001</v>
      </c>
      <c r="H173" s="7">
        <f t="shared" si="15"/>
        <v>34.462499999999999</v>
      </c>
      <c r="I173" s="7">
        <f t="shared" si="16"/>
        <v>31414.291875000003</v>
      </c>
      <c r="J173" s="7">
        <f t="shared" si="17"/>
        <v>10.350104401186098</v>
      </c>
      <c r="K173" s="3">
        <f t="shared" si="18"/>
        <v>4552.75</v>
      </c>
      <c r="L173" s="1">
        <f t="shared" si="19"/>
        <v>47121.437812500008</v>
      </c>
      <c r="M173" s="7">
        <f t="shared" si="20"/>
        <v>15707.145937500005</v>
      </c>
    </row>
    <row r="174" spans="1:13" x14ac:dyDescent="0.3">
      <c r="A174" t="s">
        <v>215</v>
      </c>
      <c r="B174" t="s">
        <v>212</v>
      </c>
      <c r="C174" t="s">
        <v>15</v>
      </c>
      <c r="D174" t="s">
        <v>213</v>
      </c>
      <c r="E174" s="1">
        <v>8.99</v>
      </c>
      <c r="F174" s="2">
        <v>4139</v>
      </c>
      <c r="G174" s="7">
        <f t="shared" si="14"/>
        <v>37209.61</v>
      </c>
      <c r="H174" s="7">
        <f t="shared" si="15"/>
        <v>44.95</v>
      </c>
      <c r="I174" s="7">
        <f t="shared" si="16"/>
        <v>37254.559999999998</v>
      </c>
      <c r="J174" s="7">
        <f t="shared" si="17"/>
        <v>13.501290166706935</v>
      </c>
      <c r="K174" s="3">
        <f t="shared" si="18"/>
        <v>4139</v>
      </c>
      <c r="L174" s="1">
        <f t="shared" si="19"/>
        <v>55881.840000000004</v>
      </c>
      <c r="M174" s="7">
        <f t="shared" si="20"/>
        <v>18627.280000000006</v>
      </c>
    </row>
    <row r="175" spans="1:13" x14ac:dyDescent="0.3">
      <c r="A175" t="s">
        <v>216</v>
      </c>
      <c r="B175" t="s">
        <v>212</v>
      </c>
      <c r="C175" t="s">
        <v>15</v>
      </c>
      <c r="D175" t="s">
        <v>213</v>
      </c>
      <c r="E175" s="1">
        <v>4.4950000000000001</v>
      </c>
      <c r="F175" s="2">
        <v>4725</v>
      </c>
      <c r="G175" s="7">
        <f t="shared" si="14"/>
        <v>21238.875</v>
      </c>
      <c r="H175" s="7">
        <f t="shared" si="15"/>
        <v>22.475000000000001</v>
      </c>
      <c r="I175" s="7">
        <f t="shared" si="16"/>
        <v>21261.35</v>
      </c>
      <c r="J175" s="7">
        <f t="shared" si="17"/>
        <v>6.7496349206349215</v>
      </c>
      <c r="K175" s="3">
        <f t="shared" si="18"/>
        <v>4725</v>
      </c>
      <c r="L175" s="1">
        <f t="shared" si="19"/>
        <v>31892.025000000005</v>
      </c>
      <c r="M175" s="7">
        <f t="shared" si="20"/>
        <v>10630.675000000007</v>
      </c>
    </row>
    <row r="176" spans="1:13" x14ac:dyDescent="0.3">
      <c r="A176" t="s">
        <v>217</v>
      </c>
      <c r="B176" t="s">
        <v>212</v>
      </c>
      <c r="C176" t="s">
        <v>15</v>
      </c>
      <c r="D176" t="s">
        <v>213</v>
      </c>
      <c r="E176" s="1">
        <v>6.8925000000000001</v>
      </c>
      <c r="F176" s="2">
        <v>4308.25</v>
      </c>
      <c r="G176" s="7">
        <f t="shared" si="14"/>
        <v>29694.613125</v>
      </c>
      <c r="H176" s="7">
        <f t="shared" si="15"/>
        <v>34.462499999999999</v>
      </c>
      <c r="I176" s="7">
        <f t="shared" si="16"/>
        <v>29729.075625000001</v>
      </c>
      <c r="J176" s="7">
        <f t="shared" si="17"/>
        <v>10.350748781407763</v>
      </c>
      <c r="K176" s="3">
        <f t="shared" si="18"/>
        <v>4308.25</v>
      </c>
      <c r="L176" s="1">
        <f t="shared" si="19"/>
        <v>44593.613437499997</v>
      </c>
      <c r="M176" s="7">
        <f t="shared" si="20"/>
        <v>14864.537812499995</v>
      </c>
    </row>
    <row r="177" spans="1:13" x14ac:dyDescent="0.3">
      <c r="A177" t="s">
        <v>218</v>
      </c>
      <c r="B177" t="s">
        <v>212</v>
      </c>
      <c r="C177" t="s">
        <v>15</v>
      </c>
      <c r="D177" t="s">
        <v>213</v>
      </c>
      <c r="E177" s="1">
        <v>8.99</v>
      </c>
      <c r="F177" s="2">
        <v>4859.5</v>
      </c>
      <c r="G177" s="7">
        <f t="shared" si="14"/>
        <v>43686.904999999999</v>
      </c>
      <c r="H177" s="7">
        <f t="shared" si="15"/>
        <v>44.95</v>
      </c>
      <c r="I177" s="7">
        <f t="shared" si="16"/>
        <v>43731.854999999996</v>
      </c>
      <c r="J177" s="7">
        <f t="shared" si="17"/>
        <v>13.49887488424735</v>
      </c>
      <c r="K177" s="3">
        <f t="shared" si="18"/>
        <v>4859.5</v>
      </c>
      <c r="L177" s="1">
        <f t="shared" si="19"/>
        <v>65597.782500000001</v>
      </c>
      <c r="M177" s="7">
        <f t="shared" si="20"/>
        <v>21865.927500000005</v>
      </c>
    </row>
    <row r="178" spans="1:13" x14ac:dyDescent="0.3">
      <c r="A178" t="s">
        <v>219</v>
      </c>
      <c r="B178" t="s">
        <v>212</v>
      </c>
      <c r="C178" t="s">
        <v>15</v>
      </c>
      <c r="D178" t="s">
        <v>213</v>
      </c>
      <c r="E178" s="1">
        <v>8.99</v>
      </c>
      <c r="F178" s="2">
        <v>4923.75</v>
      </c>
      <c r="G178" s="7">
        <f t="shared" si="14"/>
        <v>44264.512500000004</v>
      </c>
      <c r="H178" s="7">
        <f t="shared" si="15"/>
        <v>44.95</v>
      </c>
      <c r="I178" s="7">
        <f t="shared" si="16"/>
        <v>44309.462500000001</v>
      </c>
      <c r="J178" s="7">
        <f t="shared" si="17"/>
        <v>13.498693830921553</v>
      </c>
      <c r="K178" s="3">
        <f t="shared" si="18"/>
        <v>4923.75</v>
      </c>
      <c r="L178" s="1">
        <f t="shared" si="19"/>
        <v>66464.193749999991</v>
      </c>
      <c r="M178" s="7">
        <f t="shared" si="20"/>
        <v>22154.73124999999</v>
      </c>
    </row>
    <row r="179" spans="1:13" x14ac:dyDescent="0.3">
      <c r="A179" t="s">
        <v>220</v>
      </c>
      <c r="B179" t="s">
        <v>98</v>
      </c>
      <c r="C179" t="s">
        <v>15</v>
      </c>
      <c r="D179" t="s">
        <v>22</v>
      </c>
      <c r="E179" s="1">
        <v>49.844999999999999</v>
      </c>
      <c r="F179" s="2">
        <v>4740</v>
      </c>
      <c r="G179" s="7">
        <f t="shared" si="14"/>
        <v>236265.3</v>
      </c>
      <c r="H179" s="7">
        <f t="shared" si="15"/>
        <v>249.22499999999999</v>
      </c>
      <c r="I179" s="7">
        <f t="shared" si="16"/>
        <v>236514.52499999999</v>
      </c>
      <c r="J179" s="7">
        <f t="shared" si="17"/>
        <v>74.846368670886079</v>
      </c>
      <c r="K179" s="3">
        <f t="shared" si="18"/>
        <v>4740</v>
      </c>
      <c r="L179" s="1">
        <f t="shared" si="19"/>
        <v>354771.78750000003</v>
      </c>
      <c r="M179" s="7">
        <f t="shared" si="20"/>
        <v>118257.26250000004</v>
      </c>
    </row>
    <row r="180" spans="1:13" x14ac:dyDescent="0.3">
      <c r="A180" t="s">
        <v>221</v>
      </c>
      <c r="B180" t="s">
        <v>98</v>
      </c>
      <c r="C180" t="s">
        <v>15</v>
      </c>
      <c r="D180" t="s">
        <v>22</v>
      </c>
      <c r="E180" s="1">
        <v>36.147500000000001</v>
      </c>
      <c r="F180" s="2">
        <v>4245.5</v>
      </c>
      <c r="G180" s="7">
        <f t="shared" si="14"/>
        <v>153464.21124999999</v>
      </c>
      <c r="H180" s="7">
        <f t="shared" si="15"/>
        <v>180.73750000000001</v>
      </c>
      <c r="I180" s="7">
        <f t="shared" si="16"/>
        <v>153644.94874999998</v>
      </c>
      <c r="J180" s="7">
        <f t="shared" si="17"/>
        <v>54.285107319514786</v>
      </c>
      <c r="K180" s="3">
        <f t="shared" si="18"/>
        <v>4245.5</v>
      </c>
      <c r="L180" s="1">
        <f t="shared" si="19"/>
        <v>230467.42312500003</v>
      </c>
      <c r="M180" s="7">
        <f t="shared" si="20"/>
        <v>76822.474375000049</v>
      </c>
    </row>
    <row r="181" spans="1:13" x14ac:dyDescent="0.3">
      <c r="A181" t="s">
        <v>222</v>
      </c>
      <c r="B181" t="s">
        <v>98</v>
      </c>
      <c r="C181" t="s">
        <v>15</v>
      </c>
      <c r="D181" t="s">
        <v>180</v>
      </c>
      <c r="E181" s="1">
        <v>10.154999999999999</v>
      </c>
      <c r="F181" s="2">
        <v>4428</v>
      </c>
      <c r="G181" s="7">
        <f t="shared" si="14"/>
        <v>44966.34</v>
      </c>
      <c r="H181" s="7">
        <f t="shared" si="15"/>
        <v>50.774999999999999</v>
      </c>
      <c r="I181" s="7">
        <f t="shared" si="16"/>
        <v>45017.114999999998</v>
      </c>
      <c r="J181" s="7">
        <f t="shared" si="17"/>
        <v>15.249700203252031</v>
      </c>
      <c r="K181" s="3">
        <f t="shared" si="18"/>
        <v>4428</v>
      </c>
      <c r="L181" s="1">
        <f t="shared" si="19"/>
        <v>67525.672500000001</v>
      </c>
      <c r="M181" s="7">
        <f t="shared" si="20"/>
        <v>22508.557500000003</v>
      </c>
    </row>
    <row r="182" spans="1:13" x14ac:dyDescent="0.3">
      <c r="A182" t="s">
        <v>223</v>
      </c>
      <c r="B182" t="s">
        <v>117</v>
      </c>
      <c r="C182" t="s">
        <v>15</v>
      </c>
      <c r="D182" t="s">
        <v>126</v>
      </c>
      <c r="E182" s="1">
        <v>5.1150000000000002</v>
      </c>
      <c r="F182" s="2">
        <v>4288</v>
      </c>
      <c r="G182" s="7">
        <f t="shared" si="14"/>
        <v>21933.120000000003</v>
      </c>
      <c r="H182" s="7">
        <f t="shared" si="15"/>
        <v>25.575000000000003</v>
      </c>
      <c r="I182" s="7">
        <f t="shared" si="16"/>
        <v>21958.695000000003</v>
      </c>
      <c r="J182" s="7">
        <f t="shared" si="17"/>
        <v>7.6814464785447765</v>
      </c>
      <c r="K182" s="3">
        <f t="shared" si="18"/>
        <v>4288</v>
      </c>
      <c r="L182" s="1">
        <f t="shared" si="19"/>
        <v>32938.042500000003</v>
      </c>
      <c r="M182" s="7">
        <f t="shared" si="20"/>
        <v>10979.3475</v>
      </c>
    </row>
    <row r="183" spans="1:13" x14ac:dyDescent="0.3">
      <c r="A183" t="s">
        <v>224</v>
      </c>
      <c r="B183" t="s">
        <v>117</v>
      </c>
      <c r="C183" t="s">
        <v>15</v>
      </c>
      <c r="D183" t="s">
        <v>126</v>
      </c>
      <c r="E183" s="1">
        <v>10.164999999999999</v>
      </c>
      <c r="F183" s="2">
        <v>4811.25</v>
      </c>
      <c r="G183" s="7">
        <f t="shared" si="14"/>
        <v>48906.356249999997</v>
      </c>
      <c r="H183" s="7">
        <f t="shared" si="15"/>
        <v>50.824999999999996</v>
      </c>
      <c r="I183" s="7">
        <f t="shared" si="16"/>
        <v>48957.181249999994</v>
      </c>
      <c r="J183" s="7">
        <f t="shared" si="17"/>
        <v>15.263345674201089</v>
      </c>
      <c r="K183" s="3">
        <f t="shared" si="18"/>
        <v>4811.25</v>
      </c>
      <c r="L183" s="1">
        <f t="shared" si="19"/>
        <v>73435.771874999991</v>
      </c>
      <c r="M183" s="7">
        <f t="shared" si="20"/>
        <v>24478.590624999997</v>
      </c>
    </row>
    <row r="184" spans="1:13" x14ac:dyDescent="0.3">
      <c r="A184" t="s">
        <v>225</v>
      </c>
      <c r="B184" t="s">
        <v>98</v>
      </c>
      <c r="C184" t="s">
        <v>15</v>
      </c>
      <c r="D184" t="s">
        <v>186</v>
      </c>
      <c r="E184" s="1">
        <v>11.8225</v>
      </c>
      <c r="F184" s="2">
        <v>4399</v>
      </c>
      <c r="G184" s="7">
        <f t="shared" si="14"/>
        <v>52007.177499999998</v>
      </c>
      <c r="H184" s="7">
        <f t="shared" si="15"/>
        <v>59.112499999999997</v>
      </c>
      <c r="I184" s="7">
        <f t="shared" si="16"/>
        <v>52066.29</v>
      </c>
      <c r="J184" s="7">
        <f t="shared" si="17"/>
        <v>17.753906569674925</v>
      </c>
      <c r="K184" s="3">
        <f t="shared" si="18"/>
        <v>4399</v>
      </c>
      <c r="L184" s="1">
        <f t="shared" si="19"/>
        <v>78099.434999999998</v>
      </c>
      <c r="M184" s="7">
        <f t="shared" si="20"/>
        <v>26033.144999999997</v>
      </c>
    </row>
    <row r="185" spans="1:13" x14ac:dyDescent="0.3">
      <c r="A185" t="s">
        <v>226</v>
      </c>
      <c r="B185" t="s">
        <v>98</v>
      </c>
      <c r="C185" t="s">
        <v>15</v>
      </c>
      <c r="D185" t="s">
        <v>227</v>
      </c>
      <c r="E185" s="1">
        <v>2.2475000000000001</v>
      </c>
      <c r="F185" s="2">
        <v>4513.75</v>
      </c>
      <c r="G185" s="7">
        <f t="shared" si="14"/>
        <v>10144.653125000001</v>
      </c>
      <c r="H185" s="7">
        <f t="shared" si="15"/>
        <v>11.237500000000001</v>
      </c>
      <c r="I185" s="7">
        <f t="shared" si="16"/>
        <v>10155.890625</v>
      </c>
      <c r="J185" s="7">
        <f t="shared" si="17"/>
        <v>3.3749844225976187</v>
      </c>
      <c r="K185" s="3">
        <f t="shared" si="18"/>
        <v>4513.75</v>
      </c>
      <c r="L185" s="1">
        <f t="shared" si="19"/>
        <v>15233.835937500002</v>
      </c>
      <c r="M185" s="7">
        <f t="shared" si="20"/>
        <v>5077.9453125000018</v>
      </c>
    </row>
    <row r="186" spans="1:13" x14ac:dyDescent="0.3">
      <c r="A186" t="s">
        <v>228</v>
      </c>
      <c r="B186" t="s">
        <v>84</v>
      </c>
      <c r="C186" t="s">
        <v>24</v>
      </c>
      <c r="D186" t="s">
        <v>229</v>
      </c>
      <c r="E186" s="1">
        <v>188.78749999999999</v>
      </c>
      <c r="F186" s="2">
        <v>4363.25</v>
      </c>
      <c r="G186" s="7">
        <f t="shared" si="14"/>
        <v>823727.05937499995</v>
      </c>
      <c r="H186" s="7">
        <f t="shared" si="15"/>
        <v>943.9375</v>
      </c>
      <c r="I186" s="7">
        <f t="shared" si="16"/>
        <v>824670.99687499995</v>
      </c>
      <c r="J186" s="7">
        <f t="shared" si="17"/>
        <v>283.50575724803758</v>
      </c>
      <c r="K186" s="3">
        <f t="shared" si="18"/>
        <v>4363.25</v>
      </c>
      <c r="L186" s="1">
        <f t="shared" si="19"/>
        <v>1237006.4953125</v>
      </c>
      <c r="M186" s="7">
        <f t="shared" si="20"/>
        <v>412335.49843750009</v>
      </c>
    </row>
    <row r="187" spans="1:13" x14ac:dyDescent="0.3">
      <c r="A187" t="s">
        <v>230</v>
      </c>
      <c r="B187" t="s">
        <v>113</v>
      </c>
      <c r="C187" t="s">
        <v>24</v>
      </c>
      <c r="D187" t="s">
        <v>229</v>
      </c>
      <c r="E187" s="1">
        <v>370.48500000000001</v>
      </c>
      <c r="F187" s="2">
        <v>4388.75</v>
      </c>
      <c r="G187" s="7">
        <f t="shared" si="14"/>
        <v>1625966.04375</v>
      </c>
      <c r="H187" s="7">
        <f t="shared" si="15"/>
        <v>1852.4250000000002</v>
      </c>
      <c r="I187" s="7">
        <f t="shared" si="16"/>
        <v>1627818.46875</v>
      </c>
      <c r="J187" s="7">
        <f t="shared" si="17"/>
        <v>556.36062731415552</v>
      </c>
      <c r="K187" s="3">
        <f t="shared" si="18"/>
        <v>4388.75</v>
      </c>
      <c r="L187" s="1">
        <f t="shared" si="19"/>
        <v>2441727.703125</v>
      </c>
      <c r="M187" s="7">
        <f t="shared" si="20"/>
        <v>813909.234375</v>
      </c>
    </row>
    <row r="188" spans="1:13" x14ac:dyDescent="0.3">
      <c r="A188" t="s">
        <v>231</v>
      </c>
      <c r="B188" t="s">
        <v>113</v>
      </c>
      <c r="C188" t="s">
        <v>24</v>
      </c>
      <c r="D188" t="s">
        <v>229</v>
      </c>
      <c r="E188" s="1">
        <v>370.48500000000001</v>
      </c>
      <c r="F188" s="2">
        <v>4916.75</v>
      </c>
      <c r="G188" s="7">
        <f t="shared" si="14"/>
        <v>1821582.12375</v>
      </c>
      <c r="H188" s="7">
        <f t="shared" si="15"/>
        <v>1852.4250000000002</v>
      </c>
      <c r="I188" s="7">
        <f t="shared" si="16"/>
        <v>1823434.5487500001</v>
      </c>
      <c r="J188" s="7">
        <f t="shared" si="17"/>
        <v>556.29263703157574</v>
      </c>
      <c r="K188" s="3">
        <f t="shared" si="18"/>
        <v>4916.75</v>
      </c>
      <c r="L188" s="1">
        <f t="shared" si="19"/>
        <v>2735151.8231250001</v>
      </c>
      <c r="M188" s="7">
        <f t="shared" si="20"/>
        <v>911717.27437500004</v>
      </c>
    </row>
    <row r="189" spans="1:13" x14ac:dyDescent="0.3">
      <c r="A189" t="s">
        <v>232</v>
      </c>
      <c r="B189" t="s">
        <v>113</v>
      </c>
      <c r="C189" t="s">
        <v>24</v>
      </c>
      <c r="D189" t="s">
        <v>229</v>
      </c>
      <c r="E189" s="1">
        <v>370.48500000000001</v>
      </c>
      <c r="F189" s="2">
        <v>4647.25</v>
      </c>
      <c r="G189" s="7">
        <f t="shared" si="14"/>
        <v>1721736.41625</v>
      </c>
      <c r="H189" s="7">
        <f t="shared" si="15"/>
        <v>1852.4250000000002</v>
      </c>
      <c r="I189" s="7">
        <f t="shared" si="16"/>
        <v>1723588.8412500001</v>
      </c>
      <c r="J189" s="7">
        <f t="shared" si="17"/>
        <v>556.32541005433325</v>
      </c>
      <c r="K189" s="3">
        <f t="shared" si="18"/>
        <v>4647.25</v>
      </c>
      <c r="L189" s="1">
        <f t="shared" si="19"/>
        <v>2585383.2618750003</v>
      </c>
      <c r="M189" s="7">
        <f t="shared" si="20"/>
        <v>861794.42062500026</v>
      </c>
    </row>
    <row r="190" spans="1:13" x14ac:dyDescent="0.3">
      <c r="A190" t="s">
        <v>233</v>
      </c>
      <c r="B190" t="s">
        <v>113</v>
      </c>
      <c r="C190" t="s">
        <v>24</v>
      </c>
      <c r="D190" t="s">
        <v>229</v>
      </c>
      <c r="E190" s="1">
        <v>370.48500000000001</v>
      </c>
      <c r="F190" s="2">
        <v>4568.75</v>
      </c>
      <c r="G190" s="7">
        <f t="shared" si="14"/>
        <v>1692653.34375</v>
      </c>
      <c r="H190" s="7">
        <f t="shared" si="15"/>
        <v>1852.4250000000002</v>
      </c>
      <c r="I190" s="7">
        <f t="shared" si="16"/>
        <v>1694505.76875</v>
      </c>
      <c r="J190" s="7">
        <f t="shared" si="17"/>
        <v>556.33568331053357</v>
      </c>
      <c r="K190" s="3">
        <f t="shared" si="18"/>
        <v>4568.75</v>
      </c>
      <c r="L190" s="1">
        <f t="shared" si="19"/>
        <v>2541758.6531250002</v>
      </c>
      <c r="M190" s="7">
        <f t="shared" si="20"/>
        <v>847252.88437500014</v>
      </c>
    </row>
    <row r="191" spans="1:13" x14ac:dyDescent="0.3">
      <c r="A191" t="s">
        <v>234</v>
      </c>
      <c r="B191" t="s">
        <v>113</v>
      </c>
      <c r="C191" t="s">
        <v>24</v>
      </c>
      <c r="D191" t="s">
        <v>229</v>
      </c>
      <c r="E191" s="1">
        <v>115.36</v>
      </c>
      <c r="F191" s="2">
        <v>4827.75</v>
      </c>
      <c r="G191" s="7">
        <f t="shared" si="14"/>
        <v>556929.24</v>
      </c>
      <c r="H191" s="7">
        <f t="shared" si="15"/>
        <v>576.79999999999995</v>
      </c>
      <c r="I191" s="7">
        <f t="shared" si="16"/>
        <v>557506.04</v>
      </c>
      <c r="J191" s="7">
        <f t="shared" si="17"/>
        <v>173.21921391952773</v>
      </c>
      <c r="K191" s="3">
        <f t="shared" si="18"/>
        <v>4827.75</v>
      </c>
      <c r="L191" s="1">
        <f t="shared" si="19"/>
        <v>836259.06</v>
      </c>
      <c r="M191" s="7">
        <f t="shared" si="20"/>
        <v>278753.02</v>
      </c>
    </row>
    <row r="192" spans="1:13" x14ac:dyDescent="0.3">
      <c r="A192" t="s">
        <v>235</v>
      </c>
      <c r="B192" t="s">
        <v>113</v>
      </c>
      <c r="C192" t="s">
        <v>24</v>
      </c>
      <c r="D192" t="s">
        <v>229</v>
      </c>
      <c r="E192" s="1">
        <v>115.36</v>
      </c>
      <c r="F192" s="2">
        <v>4544.5</v>
      </c>
      <c r="G192" s="7">
        <f t="shared" si="14"/>
        <v>524253.52</v>
      </c>
      <c r="H192" s="7">
        <f t="shared" si="15"/>
        <v>576.79999999999995</v>
      </c>
      <c r="I192" s="7">
        <f t="shared" si="16"/>
        <v>524830.32000000007</v>
      </c>
      <c r="J192" s="7">
        <f t="shared" si="17"/>
        <v>173.23038398063593</v>
      </c>
      <c r="K192" s="3">
        <f t="shared" si="18"/>
        <v>4544.5</v>
      </c>
      <c r="L192" s="1">
        <f t="shared" si="19"/>
        <v>787245.48</v>
      </c>
      <c r="M192" s="7">
        <f t="shared" si="20"/>
        <v>262415.15999999992</v>
      </c>
    </row>
    <row r="193" spans="1:17" x14ac:dyDescent="0.3">
      <c r="A193" t="s">
        <v>236</v>
      </c>
      <c r="B193" t="s">
        <v>113</v>
      </c>
      <c r="C193" t="s">
        <v>24</v>
      </c>
      <c r="D193" t="s">
        <v>229</v>
      </c>
      <c r="E193" s="1">
        <v>115.36</v>
      </c>
      <c r="F193" s="2">
        <v>4624.75</v>
      </c>
      <c r="G193" s="7">
        <f t="shared" si="14"/>
        <v>533511.16</v>
      </c>
      <c r="H193" s="7">
        <f t="shared" si="15"/>
        <v>576.79999999999995</v>
      </c>
      <c r="I193" s="7">
        <f t="shared" si="16"/>
        <v>534087.96000000008</v>
      </c>
      <c r="J193" s="7">
        <f t="shared" si="17"/>
        <v>173.22708038272339</v>
      </c>
      <c r="K193" s="3">
        <f t="shared" si="18"/>
        <v>4624.75</v>
      </c>
      <c r="L193" s="1">
        <f t="shared" si="19"/>
        <v>801131.94</v>
      </c>
      <c r="M193" s="7">
        <f t="shared" si="20"/>
        <v>267043.97999999986</v>
      </c>
    </row>
    <row r="194" spans="1:17" x14ac:dyDescent="0.3">
      <c r="A194" t="s">
        <v>237</v>
      </c>
      <c r="B194" t="s">
        <v>98</v>
      </c>
      <c r="C194" t="s">
        <v>24</v>
      </c>
      <c r="D194" t="s">
        <v>28</v>
      </c>
      <c r="E194" s="1">
        <v>104.94499999999999</v>
      </c>
      <c r="F194" s="2">
        <v>4579.75</v>
      </c>
      <c r="G194" s="7">
        <f t="shared" si="14"/>
        <v>480621.86374999996</v>
      </c>
      <c r="H194" s="7">
        <f t="shared" si="15"/>
        <v>524.72499999999991</v>
      </c>
      <c r="I194" s="7">
        <f t="shared" si="16"/>
        <v>481146.58874999994</v>
      </c>
      <c r="J194" s="7">
        <f t="shared" si="17"/>
        <v>157.58936254708226</v>
      </c>
      <c r="K194" s="3">
        <f t="shared" si="18"/>
        <v>4579.75</v>
      </c>
      <c r="L194" s="1">
        <f t="shared" si="19"/>
        <v>721719.88312499993</v>
      </c>
      <c r="M194" s="7">
        <f t="shared" si="20"/>
        <v>240573.294375</v>
      </c>
      <c r="Q194" s="4"/>
    </row>
    <row r="195" spans="1:17" x14ac:dyDescent="0.3">
      <c r="A195" t="s">
        <v>238</v>
      </c>
      <c r="B195" t="s">
        <v>98</v>
      </c>
      <c r="C195" t="s">
        <v>24</v>
      </c>
      <c r="D195" t="s">
        <v>28</v>
      </c>
      <c r="E195" s="1">
        <v>104.94499999999999</v>
      </c>
      <c r="F195" s="2">
        <v>4769.25</v>
      </c>
      <c r="G195" s="7">
        <f t="shared" si="14"/>
        <v>500508.94124999997</v>
      </c>
      <c r="H195" s="7">
        <f t="shared" si="15"/>
        <v>524.72499999999991</v>
      </c>
      <c r="I195" s="7">
        <f t="shared" si="16"/>
        <v>501033.66624999995</v>
      </c>
      <c r="J195" s="7">
        <f t="shared" si="17"/>
        <v>157.58253381034754</v>
      </c>
      <c r="K195" s="3">
        <f t="shared" si="18"/>
        <v>4769.25</v>
      </c>
      <c r="L195" s="1">
        <f t="shared" si="19"/>
        <v>751550.49937500001</v>
      </c>
      <c r="M195" s="7">
        <f t="shared" si="20"/>
        <v>250516.83312500006</v>
      </c>
    </row>
    <row r="196" spans="1:17" x14ac:dyDescent="0.3">
      <c r="A196" t="s">
        <v>239</v>
      </c>
      <c r="B196" t="s">
        <v>98</v>
      </c>
      <c r="C196" t="s">
        <v>24</v>
      </c>
      <c r="D196" t="s">
        <v>28</v>
      </c>
      <c r="E196" s="1">
        <v>104.94499999999999</v>
      </c>
      <c r="F196" s="2">
        <v>3845.25</v>
      </c>
      <c r="G196" s="7">
        <f t="shared" si="14"/>
        <v>403539.76124999998</v>
      </c>
      <c r="H196" s="7">
        <f t="shared" si="15"/>
        <v>524.72499999999991</v>
      </c>
      <c r="I196" s="7">
        <f t="shared" si="16"/>
        <v>404064.48624999996</v>
      </c>
      <c r="J196" s="7">
        <f t="shared" si="17"/>
        <v>157.62219085235029</v>
      </c>
      <c r="K196" s="3">
        <f t="shared" si="18"/>
        <v>3845.25</v>
      </c>
      <c r="L196" s="1">
        <f t="shared" si="19"/>
        <v>606096.729375</v>
      </c>
      <c r="M196" s="7">
        <f t="shared" si="20"/>
        <v>202032.24312500004</v>
      </c>
    </row>
    <row r="197" spans="1:17" x14ac:dyDescent="0.3">
      <c r="A197" t="s">
        <v>240</v>
      </c>
      <c r="B197" t="s">
        <v>98</v>
      </c>
      <c r="C197" t="s">
        <v>24</v>
      </c>
      <c r="D197" t="s">
        <v>28</v>
      </c>
      <c r="E197" s="1">
        <v>104.94499999999999</v>
      </c>
      <c r="F197" s="2">
        <v>4988.75</v>
      </c>
      <c r="G197" s="7">
        <f t="shared" ref="G197:G200" si="21">E197*F197</f>
        <v>523544.36874999997</v>
      </c>
      <c r="H197" s="7">
        <f t="shared" ref="H197:H200" si="22">E197*$P$1</f>
        <v>524.72499999999991</v>
      </c>
      <c r="I197" s="7">
        <f t="shared" ref="I197:I200" si="23">G197+H197</f>
        <v>524069.09374999994</v>
      </c>
      <c r="J197" s="7">
        <f t="shared" ref="J197:J200" si="24">E197+(H197/F197)+(E197+(H197/F197))*0.5</f>
        <v>157.57527248809822</v>
      </c>
      <c r="K197" s="3">
        <f t="shared" ref="K197:K200" si="25">F197</f>
        <v>4988.75</v>
      </c>
      <c r="L197" s="1">
        <f t="shared" ref="L197:L199" si="26">K197*J197</f>
        <v>786103.640625</v>
      </c>
      <c r="M197" s="7">
        <f t="shared" ref="M197:M200" si="27">L197-I197</f>
        <v>262034.54687500006</v>
      </c>
    </row>
    <row r="198" spans="1:17" x14ac:dyDescent="0.3">
      <c r="A198" t="s">
        <v>241</v>
      </c>
      <c r="B198" t="s">
        <v>117</v>
      </c>
      <c r="C198" t="s">
        <v>15</v>
      </c>
      <c r="D198" t="s">
        <v>242</v>
      </c>
      <c r="E198" s="1">
        <v>5.9924999999999997</v>
      </c>
      <c r="F198" s="2">
        <v>3783.25</v>
      </c>
      <c r="G198" s="7">
        <f t="shared" si="21"/>
        <v>22671.125625000001</v>
      </c>
      <c r="H198" s="7">
        <f t="shared" si="22"/>
        <v>29.962499999999999</v>
      </c>
      <c r="I198" s="7">
        <f t="shared" si="23"/>
        <v>22701.088125000002</v>
      </c>
      <c r="J198" s="7">
        <f t="shared" si="24"/>
        <v>9.0006296669530172</v>
      </c>
      <c r="K198" s="3">
        <f t="shared" si="25"/>
        <v>3783.25</v>
      </c>
      <c r="L198" s="1">
        <f t="shared" si="26"/>
        <v>34051.632187499999</v>
      </c>
      <c r="M198" s="7">
        <f t="shared" si="27"/>
        <v>11350.544062499997</v>
      </c>
    </row>
    <row r="199" spans="1:17" x14ac:dyDescent="0.3">
      <c r="A199" t="s">
        <v>243</v>
      </c>
      <c r="B199" t="s">
        <v>117</v>
      </c>
      <c r="C199" t="s">
        <v>15</v>
      </c>
      <c r="D199" t="s">
        <v>242</v>
      </c>
      <c r="E199" s="1">
        <v>11.237500000000001</v>
      </c>
      <c r="F199" s="2">
        <v>4717.75</v>
      </c>
      <c r="G199" s="7">
        <f t="shared" si="21"/>
        <v>53015.715625000004</v>
      </c>
      <c r="H199" s="7">
        <f t="shared" si="22"/>
        <v>56.1875</v>
      </c>
      <c r="I199" s="7">
        <f t="shared" si="23"/>
        <v>53071.903125000004</v>
      </c>
      <c r="J199" s="7">
        <f t="shared" si="24"/>
        <v>16.874114713051775</v>
      </c>
      <c r="K199" s="3">
        <f t="shared" si="25"/>
        <v>4717.75</v>
      </c>
      <c r="L199" s="1">
        <f t="shared" si="26"/>
        <v>79607.854687500003</v>
      </c>
      <c r="M199" s="7">
        <f t="shared" si="27"/>
        <v>26535.951562499999</v>
      </c>
    </row>
    <row r="200" spans="1:17" x14ac:dyDescent="0.3">
      <c r="A200" t="s">
        <v>244</v>
      </c>
      <c r="B200" t="s">
        <v>117</v>
      </c>
      <c r="C200" t="s">
        <v>15</v>
      </c>
      <c r="D200" t="s">
        <v>242</v>
      </c>
      <c r="E200" s="1">
        <v>13.484999999999999</v>
      </c>
      <c r="F200" s="2">
        <v>4766.5</v>
      </c>
      <c r="G200" s="7">
        <f t="shared" si="21"/>
        <v>64276.252499999995</v>
      </c>
      <c r="H200" s="7">
        <f t="shared" si="22"/>
        <v>67.424999999999997</v>
      </c>
      <c r="I200" s="7">
        <f t="shared" si="23"/>
        <v>64343.677499999998</v>
      </c>
      <c r="J200" s="7">
        <f t="shared" si="24"/>
        <v>20.248718399244726</v>
      </c>
      <c r="K200" s="3">
        <f t="shared" si="25"/>
        <v>4766.5</v>
      </c>
      <c r="L200" s="1">
        <f>K200*J200</f>
        <v>96515.516249999986</v>
      </c>
      <c r="M200" s="7">
        <f t="shared" si="27"/>
        <v>32171.838749999988</v>
      </c>
    </row>
    <row r="201" spans="1:17" ht="15" thickBot="1" x14ac:dyDescent="0.35">
      <c r="G201" s="5">
        <f>SUM(G4:G200)</f>
        <v>70764990.998125017</v>
      </c>
      <c r="H201" s="5">
        <f t="shared" ref="G201:M201" si="28">SUM(H4:H200)</f>
        <v>81474.600000000093</v>
      </c>
      <c r="I201" s="5">
        <f t="shared" si="28"/>
        <v>70846465.598125041</v>
      </c>
      <c r="J201" s="5">
        <f t="shared" si="28"/>
        <v>24470.686372110522</v>
      </c>
      <c r="K201" s="8">
        <f t="shared" si="28"/>
        <v>860265.75</v>
      </c>
      <c r="L201" s="5">
        <f t="shared" si="28"/>
        <v>106269698.39718756</v>
      </c>
      <c r="M201" s="5">
        <f t="shared" si="28"/>
        <v>35423232.79906252</v>
      </c>
    </row>
    <row r="202" spans="1:17" ht="15" thickTop="1" x14ac:dyDescent="0.3"/>
  </sheetData>
  <mergeCells count="13">
    <mergeCell ref="M1:M3"/>
    <mergeCell ref="D1:D3"/>
    <mergeCell ref="E1:E3"/>
    <mergeCell ref="F1:F3"/>
    <mergeCell ref="G1:G3"/>
    <mergeCell ref="H1:H3"/>
    <mergeCell ref="I1:I3"/>
    <mergeCell ref="J1:J3"/>
    <mergeCell ref="A1:A3"/>
    <mergeCell ref="B1:B3"/>
    <mergeCell ref="C1:C3"/>
    <mergeCell ref="K1:K3"/>
    <mergeCell ref="L1:L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0977d3-e5b6-4195-9522-2071cc7a7d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D3B1A3CBCA94C9C619CD08E0E4046" ma:contentTypeVersion="17" ma:contentTypeDescription="Create a new document." ma:contentTypeScope="" ma:versionID="9318375d1ce6441558b5f48286c88a85">
  <xsd:schema xmlns:xsd="http://www.w3.org/2001/XMLSchema" xmlns:xs="http://www.w3.org/2001/XMLSchema" xmlns:p="http://schemas.microsoft.com/office/2006/metadata/properties" xmlns:ns3="520977d3-e5b6-4195-9522-2071cc7a7d60" xmlns:ns4="ff7972f0-e6b1-4e81-bd6d-6d5a7ea56092" targetNamespace="http://schemas.microsoft.com/office/2006/metadata/properties" ma:root="true" ma:fieldsID="4e16bed0848fef8ca41883df276aa630" ns3:_="" ns4:_="">
    <xsd:import namespace="520977d3-e5b6-4195-9522-2071cc7a7d60"/>
    <xsd:import namespace="ff7972f0-e6b1-4e81-bd6d-6d5a7ea560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977d3-e5b6-4195-9522-2071cc7a7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72f0-e6b1-4e81-bd6d-6d5a7ea56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8C5C99-AEA9-45C8-8A4A-73C68FBF28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C417B-C4D3-4673-B18D-F0AA474BC7ED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ff7972f0-e6b1-4e81-bd6d-6d5a7ea56092"/>
    <ds:schemaRef ds:uri="520977d3-e5b6-4195-9522-2071cc7a7d6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56D662A-EDAD-42A9-95FF-481F3914C9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977d3-e5b6-4195-9522-2071cc7a7d60"/>
    <ds:schemaRef ds:uri="ff7972f0-e6b1-4e81-bd6d-6d5a7ea56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Jan-Dec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2023-04-12T17:35:28Z</dcterms:created>
  <dcterms:modified xsi:type="dcterms:W3CDTF">2025-07-07T09:03:34Z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0x0101006D9D3B1A3CBCA94C9C619CD08E0E4046</vt:lpwstr>
  </property>
  <property fmtid="{D5CDD505-2E9C-101B-9397-08002B2CF9AE}" pid="3" name="MediaServiceImageTags">
    <vt:lpwstr/>
  </property>
</Properties>
</file>