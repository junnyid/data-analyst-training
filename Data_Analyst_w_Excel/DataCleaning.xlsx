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 - Hanoi University of Science and Technology\Desktop\CodingSpace\Data_Analyst_w_Excel\"/>
    </mc:Choice>
  </mc:AlternateContent>
  <xr:revisionPtr revIDLastSave="0" documentId="8_{C93B530F-00DB-40CF-BC6C-360AEDF77B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2" i="1"/>
  <c r="C93" i="1"/>
  <c r="C85" i="1"/>
  <c r="C77" i="1"/>
  <c r="C69" i="1"/>
  <c r="C65" i="1"/>
  <c r="C61" i="1"/>
  <c r="C57" i="1"/>
  <c r="C53" i="1"/>
  <c r="C49" i="1"/>
  <c r="C45" i="1"/>
  <c r="C41" i="1"/>
  <c r="C37" i="1"/>
  <c r="C33" i="1"/>
  <c r="C29" i="1"/>
  <c r="C27" i="1"/>
  <c r="C25" i="1"/>
  <c r="C21" i="1"/>
  <c r="C19" i="1"/>
  <c r="C17" i="1"/>
  <c r="C13" i="1"/>
  <c r="C11" i="1"/>
  <c r="C9" i="1"/>
  <c r="C5" i="1"/>
  <c r="C4" i="1"/>
  <c r="C3" i="1"/>
  <c r="J3" i="1"/>
  <c r="J5" i="1"/>
  <c r="J6" i="1"/>
  <c r="J9" i="1"/>
  <c r="J10" i="1"/>
  <c r="J11" i="1"/>
  <c r="J12" i="1"/>
  <c r="J13" i="1"/>
  <c r="J14" i="1"/>
  <c r="J17" i="1"/>
  <c r="J19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7" i="1"/>
  <c r="J38" i="1"/>
  <c r="J40" i="1"/>
  <c r="J41" i="1"/>
  <c r="J43" i="1"/>
  <c r="J45" i="1"/>
  <c r="J47" i="1"/>
  <c r="J48" i="1"/>
  <c r="J51" i="1"/>
  <c r="J52" i="1"/>
  <c r="J53" i="1"/>
  <c r="J54" i="1"/>
  <c r="J55" i="1"/>
  <c r="J56" i="1"/>
  <c r="J57" i="1"/>
  <c r="J59" i="1"/>
  <c r="J60" i="1"/>
  <c r="J61" i="1"/>
  <c r="J62" i="1"/>
  <c r="J66" i="1"/>
  <c r="J67" i="1"/>
  <c r="J68" i="1"/>
  <c r="J69" i="1"/>
  <c r="J70" i="1"/>
  <c r="J71" i="1"/>
  <c r="J72" i="1"/>
  <c r="J73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9" i="1"/>
  <c r="J90" i="1"/>
  <c r="J92" i="1"/>
  <c r="J93" i="1"/>
  <c r="J94" i="1"/>
  <c r="J95" i="1"/>
  <c r="J96" i="1"/>
  <c r="J97" i="1"/>
  <c r="J98" i="1"/>
  <c r="J100" i="1"/>
  <c r="J2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4" i="1"/>
  <c r="F3" i="1"/>
  <c r="F2" i="1"/>
  <c r="C2" i="1"/>
  <c r="C6" i="1"/>
  <c r="C7" i="1"/>
  <c r="C8" i="1"/>
  <c r="C10" i="1"/>
  <c r="C12" i="1"/>
  <c r="C14" i="1"/>
  <c r="C15" i="1"/>
  <c r="C16" i="1"/>
  <c r="C18" i="1"/>
  <c r="C20" i="1"/>
  <c r="C22" i="1"/>
  <c r="C23" i="1"/>
  <c r="C24" i="1"/>
  <c r="C26" i="1"/>
  <c r="C28" i="1"/>
  <c r="C30" i="1"/>
  <c r="C31" i="1"/>
  <c r="C32" i="1"/>
  <c r="C34" i="1"/>
  <c r="C35" i="1"/>
  <c r="C36" i="1"/>
  <c r="C38" i="1"/>
  <c r="C39" i="1"/>
  <c r="C40" i="1"/>
  <c r="C42" i="1"/>
  <c r="C43" i="1"/>
  <c r="C44" i="1"/>
  <c r="C46" i="1"/>
  <c r="C47" i="1"/>
  <c r="C48" i="1"/>
  <c r="C50" i="1"/>
  <c r="C51" i="1"/>
  <c r="C52" i="1"/>
  <c r="C54" i="1"/>
  <c r="C55" i="1"/>
  <c r="C56" i="1"/>
  <c r="C58" i="1"/>
  <c r="C59" i="1"/>
  <c r="C60" i="1"/>
  <c r="C62" i="1"/>
  <c r="C63" i="1"/>
  <c r="C64" i="1"/>
  <c r="C66" i="1"/>
  <c r="C67" i="1"/>
  <c r="C68" i="1"/>
  <c r="C70" i="1"/>
  <c r="C71" i="1"/>
  <c r="C72" i="1"/>
  <c r="C73" i="1"/>
  <c r="C74" i="1"/>
  <c r="C75" i="1"/>
  <c r="C76" i="1"/>
  <c r="C78" i="1"/>
  <c r="C79" i="1"/>
  <c r="C80" i="1"/>
  <c r="C81" i="1"/>
  <c r="C82" i="1"/>
  <c r="C83" i="1"/>
  <c r="C84" i="1"/>
  <c r="C86" i="1"/>
  <c r="C87" i="1"/>
  <c r="C88" i="1"/>
  <c r="C89" i="1"/>
  <c r="C90" i="1"/>
  <c r="C91" i="1"/>
  <c r="C92" i="1"/>
  <c r="C94" i="1"/>
  <c r="C95" i="1"/>
  <c r="C96" i="1"/>
  <c r="C97" i="1"/>
  <c r="C98" i="1"/>
  <c r="C99" i="1"/>
  <c r="C100" i="1"/>
</calcChain>
</file>

<file path=xl/sharedStrings.xml><?xml version="1.0" encoding="utf-8"?>
<sst xmlns="http://schemas.openxmlformats.org/spreadsheetml/2006/main" count="561" uniqueCount="136">
  <si>
    <t>Order ID</t>
  </si>
  <si>
    <t>Product</t>
  </si>
  <si>
    <t>Category</t>
  </si>
  <si>
    <t>Region</t>
  </si>
  <si>
    <t>Quantity</t>
  </si>
  <si>
    <t>Unit Price</t>
  </si>
  <si>
    <t>Order Date</t>
  </si>
  <si>
    <t>ORD1000</t>
  </si>
  <si>
    <t>ORD1001</t>
  </si>
  <si>
    <t>ORD1002</t>
  </si>
  <si>
    <t>ORD1003</t>
  </si>
  <si>
    <t>ORD1004</t>
  </si>
  <si>
    <t>ORD1005</t>
  </si>
  <si>
    <t>ORD1006</t>
  </si>
  <si>
    <t>ORD1007</t>
  </si>
  <si>
    <t>ORD1008</t>
  </si>
  <si>
    <t>ORD1009</t>
  </si>
  <si>
    <t>ORD1010</t>
  </si>
  <si>
    <t>ORD1011</t>
  </si>
  <si>
    <t>ORD1012</t>
  </si>
  <si>
    <t>ORD1013</t>
  </si>
  <si>
    <t>ORD1014</t>
  </si>
  <si>
    <t>ORD1015</t>
  </si>
  <si>
    <t>ORD1016</t>
  </si>
  <si>
    <t>ORD1017</t>
  </si>
  <si>
    <t>ORD1018</t>
  </si>
  <si>
    <t>ORD1019</t>
  </si>
  <si>
    <t>ORD1020</t>
  </si>
  <si>
    <t>ORD1021</t>
  </si>
  <si>
    <t>ORD1022</t>
  </si>
  <si>
    <t>ORD1023</t>
  </si>
  <si>
    <t>ORD1024</t>
  </si>
  <si>
    <t>ORD1026</t>
  </si>
  <si>
    <t>ORD1027</t>
  </si>
  <si>
    <t>ORD1028</t>
  </si>
  <si>
    <t>ORD1029</t>
  </si>
  <si>
    <t>ORD1030</t>
  </si>
  <si>
    <t>ORD1031</t>
  </si>
  <si>
    <t>ORD1032</t>
  </si>
  <si>
    <t>ORD1033</t>
  </si>
  <si>
    <t>ORD1034</t>
  </si>
  <si>
    <t>ORD1035</t>
  </si>
  <si>
    <t>ORD1036</t>
  </si>
  <si>
    <t>ORD1037</t>
  </si>
  <si>
    <t>ORD1038</t>
  </si>
  <si>
    <t>ORD1039</t>
  </si>
  <si>
    <t>ORD1040</t>
  </si>
  <si>
    <t>ORD1041</t>
  </si>
  <si>
    <t>ORD1042</t>
  </si>
  <si>
    <t>ORD1043</t>
  </si>
  <si>
    <t>ORD1044</t>
  </si>
  <si>
    <t>ORD1045</t>
  </si>
  <si>
    <t>ORD1046</t>
  </si>
  <si>
    <t>ORD1047</t>
  </si>
  <si>
    <t>ORD1048</t>
  </si>
  <si>
    <t>ORD1049</t>
  </si>
  <si>
    <t>ORD1050</t>
  </si>
  <si>
    <t>ORD1051</t>
  </si>
  <si>
    <t>ORD1052</t>
  </si>
  <si>
    <t>ORD1053</t>
  </si>
  <si>
    <t>ORD1054</t>
  </si>
  <si>
    <t>ORD1055</t>
  </si>
  <si>
    <t>ORD1056</t>
  </si>
  <si>
    <t>ORD1057</t>
  </si>
  <si>
    <t>ORD1058</t>
  </si>
  <si>
    <t>ORD1059</t>
  </si>
  <si>
    <t>ORD1060</t>
  </si>
  <si>
    <t>ORD1061</t>
  </si>
  <si>
    <t>ORD1062</t>
  </si>
  <si>
    <t>ORD1063</t>
  </si>
  <si>
    <t>ORD1064</t>
  </si>
  <si>
    <t>ORD1065</t>
  </si>
  <si>
    <t>ORD1066</t>
  </si>
  <si>
    <t>ORD1067</t>
  </si>
  <si>
    <t>ORD1068</t>
  </si>
  <si>
    <t>ORD1069</t>
  </si>
  <si>
    <t>ORD1070</t>
  </si>
  <si>
    <t>ORD1071</t>
  </si>
  <si>
    <t>ORD1072</t>
  </si>
  <si>
    <t>ORD1073</t>
  </si>
  <si>
    <t>ORD1074</t>
  </si>
  <si>
    <t>ORD1075</t>
  </si>
  <si>
    <t>ORD1076</t>
  </si>
  <si>
    <t>ORD1077</t>
  </si>
  <si>
    <t>ORD1078</t>
  </si>
  <si>
    <t>ORD1079</t>
  </si>
  <si>
    <t>ORD1080</t>
  </si>
  <si>
    <t>ORD1081</t>
  </si>
  <si>
    <t>ORD1082</t>
  </si>
  <si>
    <t>ORD1083</t>
  </si>
  <si>
    <t>ORD1084</t>
  </si>
  <si>
    <t>ORD1085</t>
  </si>
  <si>
    <t>ORD1086</t>
  </si>
  <si>
    <t>ORD1087</t>
  </si>
  <si>
    <t>ORD1088</t>
  </si>
  <si>
    <t>ORD1089</t>
  </si>
  <si>
    <t>ORD1090</t>
  </si>
  <si>
    <t>ORD1091</t>
  </si>
  <si>
    <t>ORD1092</t>
  </si>
  <si>
    <t>ORD1093</t>
  </si>
  <si>
    <t>ORD1094</t>
  </si>
  <si>
    <t>ORD1095</t>
  </si>
  <si>
    <t>ORD1096</t>
  </si>
  <si>
    <t>ORD1097</t>
  </si>
  <si>
    <t>ORD1098</t>
  </si>
  <si>
    <t>ORD1099</t>
  </si>
  <si>
    <t>Keyboad</t>
  </si>
  <si>
    <t>Laptop</t>
  </si>
  <si>
    <t>Mouse</t>
  </si>
  <si>
    <t>Printer</t>
  </si>
  <si>
    <t>Keyboard</t>
  </si>
  <si>
    <t>Monitor</t>
  </si>
  <si>
    <t>Laptoop</t>
  </si>
  <si>
    <t>Electronics</t>
  </si>
  <si>
    <t>Elec</t>
  </si>
  <si>
    <t>Accessories</t>
  </si>
  <si>
    <t>Acc</t>
  </si>
  <si>
    <t>North</t>
  </si>
  <si>
    <t>Soth</t>
  </si>
  <si>
    <t>West</t>
  </si>
  <si>
    <t>Noth</t>
  </si>
  <si>
    <t>South</t>
  </si>
  <si>
    <t>East</t>
  </si>
  <si>
    <t>two hundred</t>
  </si>
  <si>
    <t>300</t>
  </si>
  <si>
    <t>2024/06/05</t>
  </si>
  <si>
    <t>2024-06-01</t>
  </si>
  <si>
    <t>invalid date</t>
  </si>
  <si>
    <t>06-10-2024</t>
  </si>
  <si>
    <t>Sai</t>
  </si>
  <si>
    <t>Đúng</t>
  </si>
  <si>
    <t>Product_C</t>
  </si>
  <si>
    <t>Region_C</t>
  </si>
  <si>
    <t>Unit Price_C</t>
  </si>
  <si>
    <t>Order Date_C</t>
  </si>
  <si>
    <t>Quantity_C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</si>
</sst>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"/>
  <sheetViews>
    <sheetView tabSelected="1" workbookViewId="0">
      <selection activeCell="O15" sqref="O15"/>
    </sheetView>
  </sheetViews>
  <sheetFormatPr defaultRowHeight="14.4" x14ac:dyDescent="0.3"/>
  <cols>
    <col min="3" max="3" width="10.44140625" customWidth="1"/>
    <col min="4" max="4" width="11.44140625" customWidth="1"/>
    <col min="7" max="8" width="11.109375" customWidth="1"/>
    <col min="9" max="9" width="11.88671875" customWidth="1"/>
    <col min="10" max="10" width="13.5546875" customWidth="1"/>
    <col min="11" max="12" width="13.6640625" customWidth="1"/>
  </cols>
  <sheetData>
    <row r="1" spans="1:16" x14ac:dyDescent="0.3">
      <c r="A1" s="1" t="s">
        <v>0</v>
      </c>
      <c r="B1" s="1" t="s">
        <v>1</v>
      </c>
      <c r="C1" s="1" t="s">
        <v>131</v>
      </c>
      <c r="D1" s="1" t="s">
        <v>2</v>
      </c>
      <c r="E1" s="1" t="s">
        <v>3</v>
      </c>
      <c r="F1" s="1" t="s">
        <v>132</v>
      </c>
      <c r="G1" s="1" t="s">
        <v>4</v>
      </c>
      <c r="H1" s="1" t="s">
        <v>135</v>
      </c>
      <c r="I1" s="1" t="s">
        <v>5</v>
      </c>
      <c r="J1" s="1" t="s">
        <v>133</v>
      </c>
      <c r="K1" s="1" t="s">
        <v>6</v>
      </c>
      <c r="L1" s="4" t="s">
        <v>134</v>
      </c>
      <c r="O1" s="2" t="s">
        <v>129</v>
      </c>
      <c r="P1" s="2" t="s">
        <v>130</v>
      </c>
    </row>
    <row r="2" spans="1:16" x14ac:dyDescent="0.3">
      <c r="A2" t="s">
        <v>7</v>
      </c>
      <c r="B2" t="s">
        <v>110</v>
      </c>
      <c r="C2" t="str">
        <f t="shared" ref="C2:C33" si="0">IFERROR(VLOOKUP(B2, $O$2:$P$5, 2, FALSE), B2)</f>
        <v>Keyboard</v>
      </c>
      <c r="D2" t="s">
        <v>113</v>
      </c>
      <c r="E2" t="s">
        <v>117</v>
      </c>
      <c r="F2" t="str">
        <f t="shared" ref="F2:F33" si="1">IFERROR(VLOOKUP(E2, $O$2:$P$5, 2, FALSE), E2)</f>
        <v>North</v>
      </c>
      <c r="G2">
        <v>3</v>
      </c>
      <c r="H2">
        <f>AVERAGEIF(G2:G100, "&lt;&gt;")</f>
        <v>2.0434782608695654</v>
      </c>
      <c r="I2">
        <v>200</v>
      </c>
      <c r="J2">
        <f>IFERROR(VALUE(I2), "")</f>
        <v>200</v>
      </c>
      <c r="K2" t="s">
        <v>125</v>
      </c>
      <c r="L2" t="str">
        <f>IFERROR(TEXT(DATEVALUE(K2), "yyyy-mm-dd"), "")</f>
        <v>2024-06-05</v>
      </c>
      <c r="O2" s="3" t="s">
        <v>106</v>
      </c>
      <c r="P2" s="3" t="s">
        <v>110</v>
      </c>
    </row>
    <row r="3" spans="1:16" x14ac:dyDescent="0.3">
      <c r="A3" t="s">
        <v>8</v>
      </c>
      <c r="B3" t="s">
        <v>107</v>
      </c>
      <c r="C3" t="str">
        <f t="shared" si="0"/>
        <v>Laptop</v>
      </c>
      <c r="D3" t="s">
        <v>113</v>
      </c>
      <c r="E3" t="s">
        <v>118</v>
      </c>
      <c r="F3" t="str">
        <f t="shared" si="1"/>
        <v>South</v>
      </c>
      <c r="H3">
        <f t="shared" ref="H3:H66" si="2">AVERAGEIF(G3:G101, "&lt;&gt;")</f>
        <v>2.0294117647058822</v>
      </c>
      <c r="I3">
        <v>100</v>
      </c>
      <c r="J3">
        <f t="shared" ref="J3:J66" si="3">IFERROR(VALUE(I3), "")</f>
        <v>100</v>
      </c>
      <c r="K3" t="s">
        <v>126</v>
      </c>
      <c r="L3" t="str">
        <f t="shared" ref="L3:L66" si="4">IFERROR(TEXT(DATEVALUE(K3), "yyyy-mm-dd"), "")</f>
        <v>2024-06-01</v>
      </c>
      <c r="O3" s="3" t="s">
        <v>112</v>
      </c>
      <c r="P3" s="3" t="s">
        <v>107</v>
      </c>
    </row>
    <row r="4" spans="1:16" x14ac:dyDescent="0.3">
      <c r="A4" t="s">
        <v>9</v>
      </c>
      <c r="B4" t="s">
        <v>108</v>
      </c>
      <c r="C4" t="str">
        <f t="shared" si="0"/>
        <v>Mouse</v>
      </c>
      <c r="D4" t="s">
        <v>113</v>
      </c>
      <c r="E4" t="s">
        <v>118</v>
      </c>
      <c r="F4" t="str">
        <f t="shared" si="1"/>
        <v>South</v>
      </c>
      <c r="G4">
        <v>2</v>
      </c>
      <c r="H4">
        <f t="shared" si="2"/>
        <v>2.0294117647058822</v>
      </c>
      <c r="I4" t="s">
        <v>123</v>
      </c>
      <c r="J4">
        <v>200</v>
      </c>
      <c r="K4" t="s">
        <v>127</v>
      </c>
      <c r="L4" t="str">
        <f t="shared" si="4"/>
        <v/>
      </c>
      <c r="O4" s="3" t="s">
        <v>118</v>
      </c>
      <c r="P4" s="3" t="s">
        <v>121</v>
      </c>
    </row>
    <row r="5" spans="1:16" x14ac:dyDescent="0.3">
      <c r="A5" t="s">
        <v>10</v>
      </c>
      <c r="B5" t="s">
        <v>109</v>
      </c>
      <c r="C5" t="str">
        <f t="shared" si="0"/>
        <v>Printer</v>
      </c>
      <c r="D5" t="s">
        <v>114</v>
      </c>
      <c r="E5" t="s">
        <v>117</v>
      </c>
      <c r="F5" t="str">
        <f t="shared" si="1"/>
        <v>North</v>
      </c>
      <c r="G5">
        <v>2</v>
      </c>
      <c r="H5">
        <f t="shared" si="2"/>
        <v>2.0298507462686568</v>
      </c>
      <c r="I5" t="s">
        <v>124</v>
      </c>
      <c r="J5">
        <f t="shared" si="3"/>
        <v>300</v>
      </c>
      <c r="K5" t="s">
        <v>128</v>
      </c>
      <c r="L5" t="str">
        <f t="shared" si="4"/>
        <v>2024-10-06</v>
      </c>
      <c r="O5" s="3" t="s">
        <v>120</v>
      </c>
      <c r="P5" s="3" t="s">
        <v>117</v>
      </c>
    </row>
    <row r="6" spans="1:16" x14ac:dyDescent="0.3">
      <c r="A6" t="s">
        <v>11</v>
      </c>
      <c r="B6" t="s">
        <v>108</v>
      </c>
      <c r="C6" t="str">
        <f t="shared" si="0"/>
        <v>Mouse</v>
      </c>
      <c r="D6" t="s">
        <v>114</v>
      </c>
      <c r="E6" t="s">
        <v>117</v>
      </c>
      <c r="F6" t="str">
        <f t="shared" si="1"/>
        <v>North</v>
      </c>
      <c r="G6">
        <v>1</v>
      </c>
      <c r="H6">
        <f t="shared" si="2"/>
        <v>2.0303030303030303</v>
      </c>
      <c r="I6" t="s">
        <v>124</v>
      </c>
      <c r="J6">
        <f t="shared" si="3"/>
        <v>300</v>
      </c>
      <c r="K6" t="s">
        <v>126</v>
      </c>
      <c r="L6" t="str">
        <f t="shared" si="4"/>
        <v>2024-06-01</v>
      </c>
    </row>
    <row r="7" spans="1:16" x14ac:dyDescent="0.3">
      <c r="A7" t="s">
        <v>12</v>
      </c>
      <c r="B7" t="s">
        <v>110</v>
      </c>
      <c r="C7" t="str">
        <f t="shared" si="0"/>
        <v>Keyboard</v>
      </c>
      <c r="D7" t="s">
        <v>114</v>
      </c>
      <c r="E7" t="s">
        <v>117</v>
      </c>
      <c r="F7" t="str">
        <f t="shared" si="1"/>
        <v>North</v>
      </c>
      <c r="H7">
        <f t="shared" si="2"/>
        <v>2.046153846153846</v>
      </c>
      <c r="I7" t="s">
        <v>123</v>
      </c>
      <c r="J7">
        <v>200</v>
      </c>
      <c r="K7" t="s">
        <v>126</v>
      </c>
      <c r="L7" t="str">
        <f t="shared" si="4"/>
        <v>2024-06-01</v>
      </c>
    </row>
    <row r="8" spans="1:16" x14ac:dyDescent="0.3">
      <c r="A8" t="s">
        <v>13</v>
      </c>
      <c r="B8" t="s">
        <v>111</v>
      </c>
      <c r="C8" t="str">
        <f t="shared" si="0"/>
        <v>Monitor</v>
      </c>
      <c r="D8" t="s">
        <v>113</v>
      </c>
      <c r="E8" t="s">
        <v>118</v>
      </c>
      <c r="F8" t="str">
        <f t="shared" si="1"/>
        <v>South</v>
      </c>
      <c r="G8">
        <v>3</v>
      </c>
      <c r="H8">
        <f t="shared" si="2"/>
        <v>2.046153846153846</v>
      </c>
      <c r="I8" t="s">
        <v>123</v>
      </c>
      <c r="J8">
        <v>200</v>
      </c>
      <c r="K8" t="s">
        <v>128</v>
      </c>
      <c r="L8" t="str">
        <f t="shared" si="4"/>
        <v>2024-10-06</v>
      </c>
    </row>
    <row r="9" spans="1:16" x14ac:dyDescent="0.3">
      <c r="A9" t="s">
        <v>14</v>
      </c>
      <c r="B9" t="s">
        <v>110</v>
      </c>
      <c r="C9" t="str">
        <f t="shared" si="0"/>
        <v>Keyboard</v>
      </c>
      <c r="D9" t="s">
        <v>113</v>
      </c>
      <c r="E9" t="s">
        <v>117</v>
      </c>
      <c r="F9" t="str">
        <f t="shared" si="1"/>
        <v>North</v>
      </c>
      <c r="G9">
        <v>2</v>
      </c>
      <c r="H9">
        <f t="shared" si="2"/>
        <v>2.03125</v>
      </c>
      <c r="I9">
        <v>300</v>
      </c>
      <c r="J9">
        <f t="shared" si="3"/>
        <v>300</v>
      </c>
      <c r="K9" t="s">
        <v>126</v>
      </c>
      <c r="L9" t="str">
        <f t="shared" si="4"/>
        <v>2024-06-01</v>
      </c>
    </row>
    <row r="10" spans="1:16" x14ac:dyDescent="0.3">
      <c r="A10" t="s">
        <v>15</v>
      </c>
      <c r="B10" t="s">
        <v>112</v>
      </c>
      <c r="C10" t="str">
        <f t="shared" si="0"/>
        <v>Laptop</v>
      </c>
      <c r="D10" t="s">
        <v>113</v>
      </c>
      <c r="E10" t="s">
        <v>119</v>
      </c>
      <c r="F10" t="str">
        <f t="shared" si="1"/>
        <v>West</v>
      </c>
      <c r="G10">
        <v>3</v>
      </c>
      <c r="H10">
        <f t="shared" si="2"/>
        <v>2.0317460317460316</v>
      </c>
      <c r="I10" t="s">
        <v>124</v>
      </c>
      <c r="J10">
        <f t="shared" si="3"/>
        <v>300</v>
      </c>
      <c r="K10" t="s">
        <v>128</v>
      </c>
      <c r="L10" t="str">
        <f t="shared" si="4"/>
        <v>2024-10-06</v>
      </c>
    </row>
    <row r="11" spans="1:16" x14ac:dyDescent="0.3">
      <c r="A11" t="s">
        <v>16</v>
      </c>
      <c r="B11" t="s">
        <v>110</v>
      </c>
      <c r="C11" t="str">
        <f t="shared" si="0"/>
        <v>Keyboard</v>
      </c>
      <c r="D11" t="s">
        <v>115</v>
      </c>
      <c r="E11" t="s">
        <v>120</v>
      </c>
      <c r="F11" t="str">
        <f t="shared" si="1"/>
        <v>North</v>
      </c>
      <c r="G11">
        <v>3</v>
      </c>
      <c r="H11">
        <f t="shared" si="2"/>
        <v>2.0161290322580645</v>
      </c>
      <c r="I11">
        <v>100</v>
      </c>
      <c r="J11">
        <f t="shared" si="3"/>
        <v>100</v>
      </c>
      <c r="K11" t="s">
        <v>125</v>
      </c>
      <c r="L11" t="str">
        <f t="shared" si="4"/>
        <v>2024-06-05</v>
      </c>
    </row>
    <row r="12" spans="1:16" x14ac:dyDescent="0.3">
      <c r="A12" t="s">
        <v>17</v>
      </c>
      <c r="B12" t="s">
        <v>108</v>
      </c>
      <c r="C12" t="str">
        <f t="shared" si="0"/>
        <v>Mouse</v>
      </c>
      <c r="D12" t="s">
        <v>115</v>
      </c>
      <c r="E12" t="s">
        <v>119</v>
      </c>
      <c r="F12" t="str">
        <f t="shared" si="1"/>
        <v>West</v>
      </c>
      <c r="H12">
        <f t="shared" si="2"/>
        <v>2</v>
      </c>
      <c r="I12">
        <v>300</v>
      </c>
      <c r="J12">
        <f t="shared" si="3"/>
        <v>300</v>
      </c>
      <c r="K12" t="s">
        <v>125</v>
      </c>
      <c r="L12" t="str">
        <f t="shared" si="4"/>
        <v>2024-06-05</v>
      </c>
    </row>
    <row r="13" spans="1:16" x14ac:dyDescent="0.3">
      <c r="A13" t="s">
        <v>18</v>
      </c>
      <c r="B13" t="s">
        <v>112</v>
      </c>
      <c r="C13" t="str">
        <f t="shared" si="0"/>
        <v>Laptop</v>
      </c>
      <c r="D13" t="s">
        <v>113</v>
      </c>
      <c r="E13" t="s">
        <v>121</v>
      </c>
      <c r="F13" t="str">
        <f t="shared" si="1"/>
        <v>South</v>
      </c>
      <c r="G13">
        <v>1</v>
      </c>
      <c r="H13">
        <f t="shared" si="2"/>
        <v>2</v>
      </c>
      <c r="I13">
        <v>300</v>
      </c>
      <c r="J13">
        <f t="shared" si="3"/>
        <v>300</v>
      </c>
      <c r="K13" t="s">
        <v>127</v>
      </c>
      <c r="L13" t="str">
        <f t="shared" si="4"/>
        <v/>
      </c>
    </row>
    <row r="14" spans="1:16" x14ac:dyDescent="0.3">
      <c r="A14" t="s">
        <v>19</v>
      </c>
      <c r="B14" t="s">
        <v>108</v>
      </c>
      <c r="C14" t="str">
        <f t="shared" si="0"/>
        <v>Mouse</v>
      </c>
      <c r="D14" t="s">
        <v>114</v>
      </c>
      <c r="E14" t="s">
        <v>121</v>
      </c>
      <c r="F14" t="str">
        <f t="shared" si="1"/>
        <v>South</v>
      </c>
      <c r="H14">
        <f t="shared" si="2"/>
        <v>2.0166666666666666</v>
      </c>
      <c r="I14" t="s">
        <v>124</v>
      </c>
      <c r="J14">
        <f t="shared" si="3"/>
        <v>300</v>
      </c>
      <c r="K14" t="s">
        <v>127</v>
      </c>
      <c r="L14" t="str">
        <f t="shared" si="4"/>
        <v/>
      </c>
    </row>
    <row r="15" spans="1:16" x14ac:dyDescent="0.3">
      <c r="A15" t="s">
        <v>20</v>
      </c>
      <c r="B15" t="s">
        <v>108</v>
      </c>
      <c r="C15" t="str">
        <f t="shared" si="0"/>
        <v>Mouse</v>
      </c>
      <c r="D15" t="s">
        <v>115</v>
      </c>
      <c r="E15" t="s">
        <v>120</v>
      </c>
      <c r="F15" t="str">
        <f t="shared" si="1"/>
        <v>North</v>
      </c>
      <c r="G15">
        <v>3</v>
      </c>
      <c r="H15">
        <f t="shared" si="2"/>
        <v>2.0166666666666666</v>
      </c>
      <c r="I15" t="s">
        <v>123</v>
      </c>
      <c r="J15">
        <v>200</v>
      </c>
      <c r="K15" t="s">
        <v>127</v>
      </c>
      <c r="L15" t="str">
        <f t="shared" si="4"/>
        <v/>
      </c>
    </row>
    <row r="16" spans="1:16" x14ac:dyDescent="0.3">
      <c r="A16" t="s">
        <v>21</v>
      </c>
      <c r="B16" t="s">
        <v>111</v>
      </c>
      <c r="C16" t="str">
        <f t="shared" si="0"/>
        <v>Monitor</v>
      </c>
      <c r="D16" t="s">
        <v>114</v>
      </c>
      <c r="E16" t="s">
        <v>121</v>
      </c>
      <c r="F16" t="str">
        <f t="shared" si="1"/>
        <v>South</v>
      </c>
      <c r="G16">
        <v>2</v>
      </c>
      <c r="H16">
        <f t="shared" si="2"/>
        <v>2</v>
      </c>
      <c r="I16" t="s">
        <v>123</v>
      </c>
      <c r="J16">
        <v>200</v>
      </c>
      <c r="K16" t="s">
        <v>127</v>
      </c>
      <c r="L16" t="str">
        <f t="shared" si="4"/>
        <v/>
      </c>
    </row>
    <row r="17" spans="1:12" x14ac:dyDescent="0.3">
      <c r="A17" t="s">
        <v>22</v>
      </c>
      <c r="B17" t="s">
        <v>107</v>
      </c>
      <c r="C17" t="str">
        <f t="shared" si="0"/>
        <v>Laptop</v>
      </c>
      <c r="D17" t="s">
        <v>113</v>
      </c>
      <c r="E17" t="s">
        <v>121</v>
      </c>
      <c r="F17" t="str">
        <f t="shared" si="1"/>
        <v>South</v>
      </c>
      <c r="G17">
        <v>2</v>
      </c>
      <c r="H17">
        <f t="shared" si="2"/>
        <v>2</v>
      </c>
      <c r="I17" t="s">
        <v>124</v>
      </c>
      <c r="J17">
        <f t="shared" si="3"/>
        <v>300</v>
      </c>
      <c r="K17" t="s">
        <v>126</v>
      </c>
      <c r="L17" t="str">
        <f t="shared" si="4"/>
        <v>2024-06-01</v>
      </c>
    </row>
    <row r="18" spans="1:12" x14ac:dyDescent="0.3">
      <c r="A18" t="s">
        <v>23</v>
      </c>
      <c r="B18" t="s">
        <v>109</v>
      </c>
      <c r="C18" t="str">
        <f t="shared" si="0"/>
        <v>Printer</v>
      </c>
      <c r="D18" t="s">
        <v>116</v>
      </c>
      <c r="E18" t="s">
        <v>118</v>
      </c>
      <c r="F18" t="str">
        <f t="shared" si="1"/>
        <v>South</v>
      </c>
      <c r="G18">
        <v>3</v>
      </c>
      <c r="H18">
        <f t="shared" si="2"/>
        <v>2</v>
      </c>
      <c r="I18" t="s">
        <v>123</v>
      </c>
      <c r="J18">
        <v>200</v>
      </c>
      <c r="K18" t="s">
        <v>126</v>
      </c>
      <c r="L18" t="str">
        <f t="shared" si="4"/>
        <v>2024-06-01</v>
      </c>
    </row>
    <row r="19" spans="1:12" x14ac:dyDescent="0.3">
      <c r="A19" t="s">
        <v>24</v>
      </c>
      <c r="B19" t="s">
        <v>107</v>
      </c>
      <c r="C19" t="str">
        <f t="shared" si="0"/>
        <v>Laptop</v>
      </c>
      <c r="D19" t="s">
        <v>114</v>
      </c>
      <c r="E19" t="s">
        <v>120</v>
      </c>
      <c r="F19" t="str">
        <f t="shared" si="1"/>
        <v>North</v>
      </c>
      <c r="G19">
        <v>3</v>
      </c>
      <c r="H19">
        <f t="shared" si="2"/>
        <v>1.9821428571428572</v>
      </c>
      <c r="I19">
        <v>100</v>
      </c>
      <c r="J19">
        <f t="shared" si="3"/>
        <v>100</v>
      </c>
      <c r="K19" t="s">
        <v>128</v>
      </c>
      <c r="L19" t="str">
        <f t="shared" si="4"/>
        <v>2024-10-06</v>
      </c>
    </row>
    <row r="20" spans="1:12" x14ac:dyDescent="0.3">
      <c r="A20" t="s">
        <v>25</v>
      </c>
      <c r="B20" t="s">
        <v>111</v>
      </c>
      <c r="C20" t="str">
        <f t="shared" si="0"/>
        <v>Monitor</v>
      </c>
      <c r="D20" t="s">
        <v>113</v>
      </c>
      <c r="E20" t="s">
        <v>120</v>
      </c>
      <c r="F20" t="str">
        <f t="shared" si="1"/>
        <v>North</v>
      </c>
      <c r="G20">
        <v>3</v>
      </c>
      <c r="H20">
        <f t="shared" si="2"/>
        <v>1.9636363636363636</v>
      </c>
      <c r="I20" t="s">
        <v>123</v>
      </c>
      <c r="J20">
        <v>200</v>
      </c>
      <c r="K20" t="s">
        <v>125</v>
      </c>
      <c r="L20" t="str">
        <f t="shared" si="4"/>
        <v>2024-06-05</v>
      </c>
    </row>
    <row r="21" spans="1:12" x14ac:dyDescent="0.3">
      <c r="A21" t="s">
        <v>26</v>
      </c>
      <c r="B21" t="s">
        <v>107</v>
      </c>
      <c r="C21" t="str">
        <f t="shared" si="0"/>
        <v>Laptop</v>
      </c>
      <c r="D21" t="s">
        <v>114</v>
      </c>
      <c r="E21" t="s">
        <v>120</v>
      </c>
      <c r="F21" t="str">
        <f t="shared" si="1"/>
        <v>North</v>
      </c>
      <c r="G21">
        <v>2</v>
      </c>
      <c r="H21">
        <f t="shared" si="2"/>
        <v>1.9444444444444444</v>
      </c>
      <c r="I21">
        <v>200</v>
      </c>
      <c r="J21">
        <f t="shared" si="3"/>
        <v>200</v>
      </c>
      <c r="K21" t="s">
        <v>128</v>
      </c>
      <c r="L21" t="str">
        <f t="shared" si="4"/>
        <v>2024-10-06</v>
      </c>
    </row>
    <row r="22" spans="1:12" x14ac:dyDescent="0.3">
      <c r="A22" t="s">
        <v>27</v>
      </c>
      <c r="B22" t="s">
        <v>109</v>
      </c>
      <c r="C22" t="str">
        <f t="shared" si="0"/>
        <v>Printer</v>
      </c>
      <c r="D22" t="s">
        <v>113</v>
      </c>
      <c r="E22" t="s">
        <v>118</v>
      </c>
      <c r="F22" t="str">
        <f t="shared" si="1"/>
        <v>South</v>
      </c>
      <c r="G22">
        <v>3</v>
      </c>
      <c r="H22">
        <f t="shared" si="2"/>
        <v>1.9433962264150944</v>
      </c>
      <c r="I22" t="s">
        <v>124</v>
      </c>
      <c r="J22">
        <f t="shared" si="3"/>
        <v>300</v>
      </c>
      <c r="K22" t="s">
        <v>126</v>
      </c>
      <c r="L22" t="str">
        <f t="shared" si="4"/>
        <v>2024-06-01</v>
      </c>
    </row>
    <row r="23" spans="1:12" x14ac:dyDescent="0.3">
      <c r="A23" t="s">
        <v>28</v>
      </c>
      <c r="B23" t="s">
        <v>110</v>
      </c>
      <c r="C23" t="str">
        <f t="shared" si="0"/>
        <v>Keyboard</v>
      </c>
      <c r="D23" t="s">
        <v>114</v>
      </c>
      <c r="E23" t="s">
        <v>121</v>
      </c>
      <c r="F23" t="str">
        <f t="shared" si="1"/>
        <v>South</v>
      </c>
      <c r="G23">
        <v>1</v>
      </c>
      <c r="H23">
        <f t="shared" si="2"/>
        <v>1.9230769230769231</v>
      </c>
      <c r="I23">
        <v>200</v>
      </c>
      <c r="J23">
        <f t="shared" si="3"/>
        <v>200</v>
      </c>
      <c r="K23" t="s">
        <v>126</v>
      </c>
      <c r="L23" t="str">
        <f t="shared" si="4"/>
        <v>2024-06-01</v>
      </c>
    </row>
    <row r="24" spans="1:12" x14ac:dyDescent="0.3">
      <c r="A24" t="s">
        <v>29</v>
      </c>
      <c r="B24" t="s">
        <v>111</v>
      </c>
      <c r="C24" t="str">
        <f t="shared" si="0"/>
        <v>Monitor</v>
      </c>
      <c r="D24" t="s">
        <v>113</v>
      </c>
      <c r="E24" t="s">
        <v>118</v>
      </c>
      <c r="F24" t="str">
        <f t="shared" si="1"/>
        <v>South</v>
      </c>
      <c r="G24">
        <v>2</v>
      </c>
      <c r="H24">
        <f t="shared" si="2"/>
        <v>1.9411764705882353</v>
      </c>
      <c r="I24">
        <v>200</v>
      </c>
      <c r="J24">
        <f t="shared" si="3"/>
        <v>200</v>
      </c>
      <c r="K24" t="s">
        <v>127</v>
      </c>
      <c r="L24" t="str">
        <f t="shared" si="4"/>
        <v/>
      </c>
    </row>
    <row r="25" spans="1:12" x14ac:dyDescent="0.3">
      <c r="A25" t="s">
        <v>30</v>
      </c>
      <c r="B25" t="s">
        <v>108</v>
      </c>
      <c r="C25" t="str">
        <f t="shared" si="0"/>
        <v>Mouse</v>
      </c>
      <c r="D25" t="s">
        <v>114</v>
      </c>
      <c r="E25" t="s">
        <v>118</v>
      </c>
      <c r="F25" t="str">
        <f t="shared" si="1"/>
        <v>South</v>
      </c>
      <c r="H25">
        <f t="shared" si="2"/>
        <v>1.94</v>
      </c>
      <c r="I25">
        <v>200</v>
      </c>
      <c r="J25">
        <f t="shared" si="3"/>
        <v>200</v>
      </c>
      <c r="K25" t="s">
        <v>125</v>
      </c>
      <c r="L25" t="str">
        <f t="shared" si="4"/>
        <v>2024-06-05</v>
      </c>
    </row>
    <row r="26" spans="1:12" x14ac:dyDescent="0.3">
      <c r="A26" t="s">
        <v>31</v>
      </c>
      <c r="B26" t="s">
        <v>111</v>
      </c>
      <c r="C26" t="str">
        <f t="shared" si="0"/>
        <v>Monitor</v>
      </c>
      <c r="D26" t="s">
        <v>114</v>
      </c>
      <c r="E26" t="s">
        <v>119</v>
      </c>
      <c r="F26" t="str">
        <f t="shared" si="1"/>
        <v>West</v>
      </c>
      <c r="H26">
        <f t="shared" si="2"/>
        <v>1.94</v>
      </c>
      <c r="I26">
        <v>100</v>
      </c>
      <c r="J26">
        <f t="shared" si="3"/>
        <v>100</v>
      </c>
      <c r="K26" t="s">
        <v>125</v>
      </c>
      <c r="L26" t="str">
        <f t="shared" si="4"/>
        <v>2024-06-05</v>
      </c>
    </row>
    <row r="27" spans="1:12" x14ac:dyDescent="0.3">
      <c r="A27" t="s">
        <v>32</v>
      </c>
      <c r="B27" t="s">
        <v>110</v>
      </c>
      <c r="C27" t="str">
        <f t="shared" si="0"/>
        <v>Keyboard</v>
      </c>
      <c r="D27" t="s">
        <v>113</v>
      </c>
      <c r="E27" t="s">
        <v>121</v>
      </c>
      <c r="F27" t="str">
        <f t="shared" si="1"/>
        <v>South</v>
      </c>
      <c r="G27">
        <v>1</v>
      </c>
      <c r="H27">
        <f t="shared" si="2"/>
        <v>1.94</v>
      </c>
      <c r="I27">
        <v>100</v>
      </c>
      <c r="J27">
        <f t="shared" si="3"/>
        <v>100</v>
      </c>
      <c r="K27" t="s">
        <v>128</v>
      </c>
      <c r="L27" t="str">
        <f t="shared" si="4"/>
        <v>2024-10-06</v>
      </c>
    </row>
    <row r="28" spans="1:12" x14ac:dyDescent="0.3">
      <c r="A28" t="s">
        <v>33</v>
      </c>
      <c r="B28" t="s">
        <v>108</v>
      </c>
      <c r="C28" t="str">
        <f t="shared" si="0"/>
        <v>Mouse</v>
      </c>
      <c r="D28" t="s">
        <v>114</v>
      </c>
      <c r="E28" t="s">
        <v>120</v>
      </c>
      <c r="F28" t="str">
        <f t="shared" si="1"/>
        <v>North</v>
      </c>
      <c r="H28">
        <f t="shared" si="2"/>
        <v>1.9591836734693877</v>
      </c>
      <c r="I28">
        <v>200</v>
      </c>
      <c r="J28">
        <f t="shared" si="3"/>
        <v>200</v>
      </c>
      <c r="K28" t="s">
        <v>125</v>
      </c>
      <c r="L28" t="str">
        <f t="shared" si="4"/>
        <v>2024-06-05</v>
      </c>
    </row>
    <row r="29" spans="1:12" x14ac:dyDescent="0.3">
      <c r="A29" t="s">
        <v>34</v>
      </c>
      <c r="B29" t="s">
        <v>109</v>
      </c>
      <c r="C29" t="str">
        <f t="shared" si="0"/>
        <v>Printer</v>
      </c>
      <c r="D29" t="s">
        <v>116</v>
      </c>
      <c r="E29" t="s">
        <v>121</v>
      </c>
      <c r="F29" t="str">
        <f t="shared" si="1"/>
        <v>South</v>
      </c>
      <c r="H29">
        <f t="shared" si="2"/>
        <v>1.9591836734693877</v>
      </c>
      <c r="I29" t="s">
        <v>124</v>
      </c>
      <c r="J29">
        <f t="shared" si="3"/>
        <v>300</v>
      </c>
      <c r="K29" t="s">
        <v>125</v>
      </c>
      <c r="L29" t="str">
        <f t="shared" si="4"/>
        <v>2024-06-05</v>
      </c>
    </row>
    <row r="30" spans="1:12" x14ac:dyDescent="0.3">
      <c r="A30" t="s">
        <v>35</v>
      </c>
      <c r="B30" t="s">
        <v>110</v>
      </c>
      <c r="C30" t="str">
        <f t="shared" si="0"/>
        <v>Keyboard</v>
      </c>
      <c r="D30" t="s">
        <v>116</v>
      </c>
      <c r="E30" t="s">
        <v>122</v>
      </c>
      <c r="F30" t="str">
        <f t="shared" si="1"/>
        <v>East</v>
      </c>
      <c r="H30">
        <f t="shared" si="2"/>
        <v>1.9591836734693877</v>
      </c>
      <c r="I30" t="s">
        <v>124</v>
      </c>
      <c r="J30">
        <f t="shared" si="3"/>
        <v>300</v>
      </c>
      <c r="K30" t="s">
        <v>127</v>
      </c>
      <c r="L30" t="str">
        <f t="shared" si="4"/>
        <v/>
      </c>
    </row>
    <row r="31" spans="1:12" x14ac:dyDescent="0.3">
      <c r="A31" t="s">
        <v>36</v>
      </c>
      <c r="B31" t="s">
        <v>107</v>
      </c>
      <c r="C31" t="str">
        <f t="shared" si="0"/>
        <v>Laptop</v>
      </c>
      <c r="D31" t="s">
        <v>113</v>
      </c>
      <c r="E31" t="s">
        <v>117</v>
      </c>
      <c r="F31" t="str">
        <f t="shared" si="1"/>
        <v>North</v>
      </c>
      <c r="H31">
        <f t="shared" si="2"/>
        <v>1.9591836734693877</v>
      </c>
      <c r="I31">
        <v>300</v>
      </c>
      <c r="J31">
        <f t="shared" si="3"/>
        <v>300</v>
      </c>
      <c r="K31" t="s">
        <v>126</v>
      </c>
      <c r="L31" t="str">
        <f t="shared" si="4"/>
        <v>2024-06-01</v>
      </c>
    </row>
    <row r="32" spans="1:12" x14ac:dyDescent="0.3">
      <c r="A32" t="s">
        <v>37</v>
      </c>
      <c r="B32" t="s">
        <v>108</v>
      </c>
      <c r="C32" t="str">
        <f t="shared" si="0"/>
        <v>Mouse</v>
      </c>
      <c r="D32" t="s">
        <v>116</v>
      </c>
      <c r="E32" t="s">
        <v>121</v>
      </c>
      <c r="F32" t="str">
        <f t="shared" si="1"/>
        <v>South</v>
      </c>
      <c r="H32">
        <f t="shared" si="2"/>
        <v>1.9591836734693877</v>
      </c>
      <c r="I32">
        <v>200</v>
      </c>
      <c r="J32">
        <f t="shared" si="3"/>
        <v>200</v>
      </c>
      <c r="K32" t="s">
        <v>128</v>
      </c>
      <c r="L32" t="str">
        <f t="shared" si="4"/>
        <v>2024-10-06</v>
      </c>
    </row>
    <row r="33" spans="1:12" x14ac:dyDescent="0.3">
      <c r="A33" t="s">
        <v>38</v>
      </c>
      <c r="B33" t="s">
        <v>112</v>
      </c>
      <c r="C33" t="str">
        <f t="shared" si="0"/>
        <v>Laptop</v>
      </c>
      <c r="D33" t="s">
        <v>113</v>
      </c>
      <c r="E33" t="s">
        <v>119</v>
      </c>
      <c r="F33" t="str">
        <f t="shared" si="1"/>
        <v>West</v>
      </c>
      <c r="G33">
        <v>1</v>
      </c>
      <c r="H33">
        <f t="shared" si="2"/>
        <v>1.9591836734693877</v>
      </c>
      <c r="I33">
        <v>100</v>
      </c>
      <c r="J33">
        <f t="shared" si="3"/>
        <v>100</v>
      </c>
      <c r="K33" t="s">
        <v>126</v>
      </c>
      <c r="L33" t="str">
        <f t="shared" si="4"/>
        <v>2024-06-01</v>
      </c>
    </row>
    <row r="34" spans="1:12" x14ac:dyDescent="0.3">
      <c r="A34" t="s">
        <v>39</v>
      </c>
      <c r="B34" t="s">
        <v>112</v>
      </c>
      <c r="C34" t="str">
        <f t="shared" ref="C34:C65" si="5">IFERROR(VLOOKUP(B34, $O$2:$P$5, 2, FALSE), B34)</f>
        <v>Laptop</v>
      </c>
      <c r="D34" t="s">
        <v>115</v>
      </c>
      <c r="E34" t="s">
        <v>121</v>
      </c>
      <c r="F34" t="str">
        <f t="shared" ref="F34:F65" si="6">IFERROR(VLOOKUP(E34, $O$2:$P$5, 2, FALSE), E34)</f>
        <v>South</v>
      </c>
      <c r="H34">
        <f t="shared" si="2"/>
        <v>1.9791666666666667</v>
      </c>
      <c r="I34" t="s">
        <v>124</v>
      </c>
      <c r="J34">
        <f t="shared" si="3"/>
        <v>300</v>
      </c>
      <c r="K34" t="s">
        <v>127</v>
      </c>
      <c r="L34" t="str">
        <f t="shared" si="4"/>
        <v/>
      </c>
    </row>
    <row r="35" spans="1:12" x14ac:dyDescent="0.3">
      <c r="A35" t="s">
        <v>40</v>
      </c>
      <c r="B35" t="s">
        <v>111</v>
      </c>
      <c r="C35" t="str">
        <f t="shared" si="5"/>
        <v>Monitor</v>
      </c>
      <c r="D35" t="s">
        <v>113</v>
      </c>
      <c r="E35" t="s">
        <v>121</v>
      </c>
      <c r="F35" t="str">
        <f t="shared" si="6"/>
        <v>South</v>
      </c>
      <c r="H35">
        <f t="shared" si="2"/>
        <v>1.9791666666666667</v>
      </c>
      <c r="I35">
        <v>100</v>
      </c>
      <c r="J35">
        <f t="shared" si="3"/>
        <v>100</v>
      </c>
      <c r="K35" t="s">
        <v>127</v>
      </c>
      <c r="L35" t="str">
        <f t="shared" si="4"/>
        <v/>
      </c>
    </row>
    <row r="36" spans="1:12" x14ac:dyDescent="0.3">
      <c r="A36" t="s">
        <v>41</v>
      </c>
      <c r="B36" t="s">
        <v>112</v>
      </c>
      <c r="C36" t="str">
        <f t="shared" si="5"/>
        <v>Laptop</v>
      </c>
      <c r="D36" t="s">
        <v>116</v>
      </c>
      <c r="E36" t="s">
        <v>122</v>
      </c>
      <c r="F36" t="str">
        <f t="shared" si="6"/>
        <v>East</v>
      </c>
      <c r="H36">
        <f t="shared" si="2"/>
        <v>1.9791666666666667</v>
      </c>
      <c r="I36" t="s">
        <v>123</v>
      </c>
      <c r="J36">
        <v>200</v>
      </c>
      <c r="K36" t="s">
        <v>127</v>
      </c>
      <c r="L36" t="str">
        <f t="shared" si="4"/>
        <v/>
      </c>
    </row>
    <row r="37" spans="1:12" x14ac:dyDescent="0.3">
      <c r="A37" t="s">
        <v>42</v>
      </c>
      <c r="B37" t="s">
        <v>110</v>
      </c>
      <c r="C37" t="str">
        <f t="shared" si="5"/>
        <v>Keyboard</v>
      </c>
      <c r="D37" t="s">
        <v>115</v>
      </c>
      <c r="E37" t="s">
        <v>117</v>
      </c>
      <c r="F37" t="str">
        <f t="shared" si="6"/>
        <v>North</v>
      </c>
      <c r="G37">
        <v>1</v>
      </c>
      <c r="H37">
        <f t="shared" si="2"/>
        <v>1.9791666666666667</v>
      </c>
      <c r="I37">
        <v>300</v>
      </c>
      <c r="J37">
        <f t="shared" si="3"/>
        <v>300</v>
      </c>
      <c r="K37" t="s">
        <v>126</v>
      </c>
      <c r="L37" t="str">
        <f t="shared" si="4"/>
        <v>2024-06-01</v>
      </c>
    </row>
    <row r="38" spans="1:12" x14ac:dyDescent="0.3">
      <c r="A38" t="s">
        <v>43</v>
      </c>
      <c r="B38" t="s">
        <v>111</v>
      </c>
      <c r="C38" t="str">
        <f t="shared" si="5"/>
        <v>Monitor</v>
      </c>
      <c r="D38" t="s">
        <v>115</v>
      </c>
      <c r="E38" t="s">
        <v>117</v>
      </c>
      <c r="F38" t="str">
        <f t="shared" si="6"/>
        <v>North</v>
      </c>
      <c r="G38">
        <v>1</v>
      </c>
      <c r="H38">
        <f t="shared" si="2"/>
        <v>2</v>
      </c>
      <c r="I38">
        <v>200</v>
      </c>
      <c r="J38">
        <f t="shared" si="3"/>
        <v>200</v>
      </c>
      <c r="K38" t="s">
        <v>126</v>
      </c>
      <c r="L38" t="str">
        <f t="shared" si="4"/>
        <v>2024-06-01</v>
      </c>
    </row>
    <row r="39" spans="1:12" x14ac:dyDescent="0.3">
      <c r="A39" t="s">
        <v>44</v>
      </c>
      <c r="B39" t="s">
        <v>110</v>
      </c>
      <c r="C39" t="str">
        <f t="shared" si="5"/>
        <v>Keyboard</v>
      </c>
      <c r="D39" t="s">
        <v>115</v>
      </c>
      <c r="E39" t="s">
        <v>119</v>
      </c>
      <c r="F39" t="str">
        <f t="shared" si="6"/>
        <v>West</v>
      </c>
      <c r="G39">
        <v>1</v>
      </c>
      <c r="H39">
        <f t="shared" si="2"/>
        <v>2.0217391304347827</v>
      </c>
      <c r="I39" t="s">
        <v>123</v>
      </c>
      <c r="J39">
        <v>200</v>
      </c>
      <c r="K39" t="s">
        <v>125</v>
      </c>
      <c r="L39" t="str">
        <f t="shared" si="4"/>
        <v>2024-06-05</v>
      </c>
    </row>
    <row r="40" spans="1:12" x14ac:dyDescent="0.3">
      <c r="A40" t="s">
        <v>45</v>
      </c>
      <c r="B40" t="s">
        <v>107</v>
      </c>
      <c r="C40" t="str">
        <f t="shared" si="5"/>
        <v>Laptop</v>
      </c>
      <c r="D40" t="s">
        <v>113</v>
      </c>
      <c r="E40" t="s">
        <v>119</v>
      </c>
      <c r="F40" t="str">
        <f t="shared" si="6"/>
        <v>West</v>
      </c>
      <c r="G40">
        <v>3</v>
      </c>
      <c r="H40">
        <f t="shared" si="2"/>
        <v>2.0444444444444443</v>
      </c>
      <c r="I40">
        <v>300</v>
      </c>
      <c r="J40">
        <f t="shared" si="3"/>
        <v>300</v>
      </c>
      <c r="K40" t="s">
        <v>125</v>
      </c>
      <c r="L40" t="str">
        <f t="shared" si="4"/>
        <v>2024-06-05</v>
      </c>
    </row>
    <row r="41" spans="1:12" x14ac:dyDescent="0.3">
      <c r="A41" t="s">
        <v>46</v>
      </c>
      <c r="B41" t="s">
        <v>110</v>
      </c>
      <c r="C41" t="str">
        <f t="shared" si="5"/>
        <v>Keyboard</v>
      </c>
      <c r="D41" t="s">
        <v>115</v>
      </c>
      <c r="E41" t="s">
        <v>122</v>
      </c>
      <c r="F41" t="str">
        <f t="shared" si="6"/>
        <v>East</v>
      </c>
      <c r="H41">
        <f t="shared" si="2"/>
        <v>2.0227272727272729</v>
      </c>
      <c r="I41">
        <v>200</v>
      </c>
      <c r="J41">
        <f t="shared" si="3"/>
        <v>200</v>
      </c>
      <c r="K41" t="s">
        <v>128</v>
      </c>
      <c r="L41" t="str">
        <f t="shared" si="4"/>
        <v>2024-10-06</v>
      </c>
    </row>
    <row r="42" spans="1:12" x14ac:dyDescent="0.3">
      <c r="A42" t="s">
        <v>47</v>
      </c>
      <c r="B42" t="s">
        <v>112</v>
      </c>
      <c r="C42" t="str">
        <f t="shared" si="5"/>
        <v>Laptop</v>
      </c>
      <c r="D42" t="s">
        <v>113</v>
      </c>
      <c r="E42" t="s">
        <v>117</v>
      </c>
      <c r="F42" t="str">
        <f t="shared" si="6"/>
        <v>North</v>
      </c>
      <c r="H42">
        <f t="shared" si="2"/>
        <v>2.0227272727272729</v>
      </c>
      <c r="I42" t="s">
        <v>123</v>
      </c>
      <c r="J42">
        <v>200</v>
      </c>
      <c r="K42" t="s">
        <v>126</v>
      </c>
      <c r="L42" t="str">
        <f t="shared" si="4"/>
        <v>2024-06-01</v>
      </c>
    </row>
    <row r="43" spans="1:12" x14ac:dyDescent="0.3">
      <c r="A43" t="s">
        <v>48</v>
      </c>
      <c r="B43" t="s">
        <v>108</v>
      </c>
      <c r="C43" t="str">
        <f t="shared" si="5"/>
        <v>Mouse</v>
      </c>
      <c r="D43" t="s">
        <v>114</v>
      </c>
      <c r="E43" t="s">
        <v>121</v>
      </c>
      <c r="F43" t="str">
        <f t="shared" si="6"/>
        <v>South</v>
      </c>
      <c r="G43">
        <v>3</v>
      </c>
      <c r="H43">
        <f t="shared" si="2"/>
        <v>2.0227272727272729</v>
      </c>
      <c r="I43">
        <v>100</v>
      </c>
      <c r="J43">
        <f t="shared" si="3"/>
        <v>100</v>
      </c>
      <c r="K43" t="s">
        <v>125</v>
      </c>
      <c r="L43" t="str">
        <f t="shared" si="4"/>
        <v>2024-06-05</v>
      </c>
    </row>
    <row r="44" spans="1:12" x14ac:dyDescent="0.3">
      <c r="A44" t="s">
        <v>49</v>
      </c>
      <c r="B44" t="s">
        <v>108</v>
      </c>
      <c r="C44" t="str">
        <f t="shared" si="5"/>
        <v>Mouse</v>
      </c>
      <c r="D44" t="s">
        <v>116</v>
      </c>
      <c r="E44" t="s">
        <v>118</v>
      </c>
      <c r="F44" t="str">
        <f t="shared" si="6"/>
        <v>South</v>
      </c>
      <c r="G44">
        <v>3</v>
      </c>
      <c r="H44">
        <f t="shared" si="2"/>
        <v>2</v>
      </c>
      <c r="I44" t="s">
        <v>123</v>
      </c>
      <c r="J44">
        <v>200</v>
      </c>
      <c r="K44" t="s">
        <v>126</v>
      </c>
      <c r="L44" t="str">
        <f t="shared" si="4"/>
        <v>2024-06-01</v>
      </c>
    </row>
    <row r="45" spans="1:12" x14ac:dyDescent="0.3">
      <c r="A45" t="s">
        <v>50</v>
      </c>
      <c r="B45" t="s">
        <v>109</v>
      </c>
      <c r="C45" t="str">
        <f t="shared" si="5"/>
        <v>Printer</v>
      </c>
      <c r="D45" t="s">
        <v>114</v>
      </c>
      <c r="E45" t="s">
        <v>120</v>
      </c>
      <c r="F45" t="str">
        <f t="shared" si="6"/>
        <v>North</v>
      </c>
      <c r="G45">
        <v>1</v>
      </c>
      <c r="H45">
        <f t="shared" si="2"/>
        <v>1.9761904761904763</v>
      </c>
      <c r="I45">
        <v>200</v>
      </c>
      <c r="J45">
        <f t="shared" si="3"/>
        <v>200</v>
      </c>
      <c r="K45" t="s">
        <v>128</v>
      </c>
      <c r="L45" t="str">
        <f t="shared" si="4"/>
        <v>2024-10-06</v>
      </c>
    </row>
    <row r="46" spans="1:12" x14ac:dyDescent="0.3">
      <c r="A46" t="s">
        <v>51</v>
      </c>
      <c r="B46" t="s">
        <v>107</v>
      </c>
      <c r="C46" t="str">
        <f t="shared" si="5"/>
        <v>Laptop</v>
      </c>
      <c r="D46" t="s">
        <v>115</v>
      </c>
      <c r="E46" t="s">
        <v>122</v>
      </c>
      <c r="F46" t="str">
        <f t="shared" si="6"/>
        <v>East</v>
      </c>
      <c r="G46">
        <v>3</v>
      </c>
      <c r="H46">
        <f t="shared" si="2"/>
        <v>2</v>
      </c>
      <c r="I46" t="s">
        <v>123</v>
      </c>
      <c r="J46">
        <v>200</v>
      </c>
      <c r="K46" t="s">
        <v>125</v>
      </c>
      <c r="L46" t="str">
        <f t="shared" si="4"/>
        <v>2024-06-05</v>
      </c>
    </row>
    <row r="47" spans="1:12" x14ac:dyDescent="0.3">
      <c r="A47" t="s">
        <v>52</v>
      </c>
      <c r="B47" t="s">
        <v>108</v>
      </c>
      <c r="C47" t="str">
        <f t="shared" si="5"/>
        <v>Mouse</v>
      </c>
      <c r="D47" t="s">
        <v>114</v>
      </c>
      <c r="E47" t="s">
        <v>118</v>
      </c>
      <c r="F47" t="str">
        <f t="shared" si="6"/>
        <v>South</v>
      </c>
      <c r="H47">
        <f t="shared" si="2"/>
        <v>1.9750000000000001</v>
      </c>
      <c r="I47">
        <v>300</v>
      </c>
      <c r="J47">
        <f t="shared" si="3"/>
        <v>300</v>
      </c>
      <c r="K47" t="s">
        <v>126</v>
      </c>
      <c r="L47" t="str">
        <f t="shared" si="4"/>
        <v>2024-06-01</v>
      </c>
    </row>
    <row r="48" spans="1:12" x14ac:dyDescent="0.3">
      <c r="A48" t="s">
        <v>53</v>
      </c>
      <c r="B48" t="s">
        <v>111</v>
      </c>
      <c r="C48" t="str">
        <f t="shared" si="5"/>
        <v>Monitor</v>
      </c>
      <c r="D48" t="s">
        <v>114</v>
      </c>
      <c r="E48" t="s">
        <v>117</v>
      </c>
      <c r="F48" t="str">
        <f t="shared" si="6"/>
        <v>North</v>
      </c>
      <c r="G48">
        <v>1</v>
      </c>
      <c r="H48">
        <f t="shared" si="2"/>
        <v>1.9750000000000001</v>
      </c>
      <c r="I48">
        <v>300</v>
      </c>
      <c r="J48">
        <f t="shared" si="3"/>
        <v>300</v>
      </c>
      <c r="K48" t="s">
        <v>125</v>
      </c>
      <c r="L48" t="str">
        <f t="shared" si="4"/>
        <v>2024-06-05</v>
      </c>
    </row>
    <row r="49" spans="1:12" x14ac:dyDescent="0.3">
      <c r="A49" t="s">
        <v>54</v>
      </c>
      <c r="B49" t="s">
        <v>110</v>
      </c>
      <c r="C49" t="str">
        <f t="shared" si="5"/>
        <v>Keyboard</v>
      </c>
      <c r="D49" t="s">
        <v>115</v>
      </c>
      <c r="E49" t="s">
        <v>120</v>
      </c>
      <c r="F49" t="str">
        <f t="shared" si="6"/>
        <v>North</v>
      </c>
      <c r="H49">
        <f t="shared" si="2"/>
        <v>2</v>
      </c>
      <c r="I49" t="s">
        <v>123</v>
      </c>
      <c r="J49">
        <v>200</v>
      </c>
      <c r="K49" t="s">
        <v>127</v>
      </c>
      <c r="L49" t="str">
        <f t="shared" si="4"/>
        <v/>
      </c>
    </row>
    <row r="50" spans="1:12" x14ac:dyDescent="0.3">
      <c r="A50" t="s">
        <v>55</v>
      </c>
      <c r="B50" t="s">
        <v>107</v>
      </c>
      <c r="C50" t="str">
        <f t="shared" si="5"/>
        <v>Laptop</v>
      </c>
      <c r="D50" t="s">
        <v>113</v>
      </c>
      <c r="E50" t="s">
        <v>120</v>
      </c>
      <c r="F50" t="str">
        <f t="shared" si="6"/>
        <v>North</v>
      </c>
      <c r="G50">
        <v>2</v>
      </c>
      <c r="H50">
        <f t="shared" si="2"/>
        <v>2</v>
      </c>
      <c r="I50" t="s">
        <v>123</v>
      </c>
      <c r="J50">
        <v>200</v>
      </c>
      <c r="K50" t="s">
        <v>126</v>
      </c>
      <c r="L50" t="str">
        <f t="shared" si="4"/>
        <v>2024-06-01</v>
      </c>
    </row>
    <row r="51" spans="1:12" x14ac:dyDescent="0.3">
      <c r="A51" t="s">
        <v>56</v>
      </c>
      <c r="B51" t="s">
        <v>109</v>
      </c>
      <c r="C51" t="str">
        <f t="shared" si="5"/>
        <v>Printer</v>
      </c>
      <c r="D51" t="s">
        <v>115</v>
      </c>
      <c r="E51" t="s">
        <v>119</v>
      </c>
      <c r="F51" t="str">
        <f t="shared" si="6"/>
        <v>West</v>
      </c>
      <c r="G51">
        <v>2</v>
      </c>
      <c r="H51">
        <f t="shared" si="2"/>
        <v>2</v>
      </c>
      <c r="I51">
        <v>100</v>
      </c>
      <c r="J51">
        <f t="shared" si="3"/>
        <v>100</v>
      </c>
      <c r="K51" t="s">
        <v>128</v>
      </c>
      <c r="L51" t="str">
        <f t="shared" si="4"/>
        <v>2024-10-06</v>
      </c>
    </row>
    <row r="52" spans="1:12" x14ac:dyDescent="0.3">
      <c r="A52" t="s">
        <v>57</v>
      </c>
      <c r="B52" t="s">
        <v>112</v>
      </c>
      <c r="C52" t="str">
        <f t="shared" si="5"/>
        <v>Laptop</v>
      </c>
      <c r="D52" t="s">
        <v>113</v>
      </c>
      <c r="E52" t="s">
        <v>122</v>
      </c>
      <c r="F52" t="str">
        <f t="shared" si="6"/>
        <v>East</v>
      </c>
      <c r="G52">
        <v>2</v>
      </c>
      <c r="H52">
        <f t="shared" si="2"/>
        <v>2</v>
      </c>
      <c r="I52">
        <v>200</v>
      </c>
      <c r="J52">
        <f t="shared" si="3"/>
        <v>200</v>
      </c>
      <c r="K52" t="s">
        <v>126</v>
      </c>
      <c r="L52" t="str">
        <f t="shared" si="4"/>
        <v>2024-06-01</v>
      </c>
    </row>
    <row r="53" spans="1:12" x14ac:dyDescent="0.3">
      <c r="A53" t="s">
        <v>58</v>
      </c>
      <c r="B53" t="s">
        <v>109</v>
      </c>
      <c r="C53" t="str">
        <f t="shared" si="5"/>
        <v>Printer</v>
      </c>
      <c r="D53" t="s">
        <v>116</v>
      </c>
      <c r="E53" t="s">
        <v>118</v>
      </c>
      <c r="F53" t="str">
        <f t="shared" si="6"/>
        <v>South</v>
      </c>
      <c r="G53">
        <v>2</v>
      </c>
      <c r="H53">
        <f t="shared" si="2"/>
        <v>2</v>
      </c>
      <c r="I53">
        <v>200</v>
      </c>
      <c r="J53">
        <f t="shared" si="3"/>
        <v>200</v>
      </c>
      <c r="K53" t="s">
        <v>125</v>
      </c>
      <c r="L53" t="str">
        <f t="shared" si="4"/>
        <v>2024-06-05</v>
      </c>
    </row>
    <row r="54" spans="1:12" x14ac:dyDescent="0.3">
      <c r="A54" t="s">
        <v>59</v>
      </c>
      <c r="B54" t="s">
        <v>112</v>
      </c>
      <c r="C54" t="str">
        <f t="shared" si="5"/>
        <v>Laptop</v>
      </c>
      <c r="D54" t="s">
        <v>115</v>
      </c>
      <c r="E54" t="s">
        <v>119</v>
      </c>
      <c r="F54" t="str">
        <f t="shared" si="6"/>
        <v>West</v>
      </c>
      <c r="G54">
        <v>1</v>
      </c>
      <c r="H54">
        <f t="shared" si="2"/>
        <v>2</v>
      </c>
      <c r="I54">
        <v>200</v>
      </c>
      <c r="J54">
        <f t="shared" si="3"/>
        <v>200</v>
      </c>
      <c r="K54" t="s">
        <v>128</v>
      </c>
      <c r="L54" t="str">
        <f t="shared" si="4"/>
        <v>2024-10-06</v>
      </c>
    </row>
    <row r="55" spans="1:12" x14ac:dyDescent="0.3">
      <c r="A55" t="s">
        <v>60</v>
      </c>
      <c r="B55" t="s">
        <v>111</v>
      </c>
      <c r="C55" t="str">
        <f t="shared" si="5"/>
        <v>Monitor</v>
      </c>
      <c r="D55" t="s">
        <v>115</v>
      </c>
      <c r="E55" t="s">
        <v>122</v>
      </c>
      <c r="F55" t="str">
        <f t="shared" si="6"/>
        <v>East</v>
      </c>
      <c r="G55">
        <v>2</v>
      </c>
      <c r="H55">
        <f t="shared" si="2"/>
        <v>2.0294117647058822</v>
      </c>
      <c r="I55">
        <v>100</v>
      </c>
      <c r="J55">
        <f t="shared" si="3"/>
        <v>100</v>
      </c>
      <c r="K55" t="s">
        <v>127</v>
      </c>
      <c r="L55" t="str">
        <f t="shared" si="4"/>
        <v/>
      </c>
    </row>
    <row r="56" spans="1:12" x14ac:dyDescent="0.3">
      <c r="A56" t="s">
        <v>61</v>
      </c>
      <c r="B56" t="s">
        <v>112</v>
      </c>
      <c r="C56" t="str">
        <f t="shared" si="5"/>
        <v>Laptop</v>
      </c>
      <c r="D56" t="s">
        <v>116</v>
      </c>
      <c r="E56" t="s">
        <v>121</v>
      </c>
      <c r="F56" t="str">
        <f t="shared" si="6"/>
        <v>South</v>
      </c>
      <c r="G56">
        <v>2</v>
      </c>
      <c r="H56">
        <f t="shared" si="2"/>
        <v>2.0303030303030303</v>
      </c>
      <c r="I56" t="s">
        <v>124</v>
      </c>
      <c r="J56">
        <f t="shared" si="3"/>
        <v>300</v>
      </c>
      <c r="K56" t="s">
        <v>128</v>
      </c>
      <c r="L56" t="str">
        <f t="shared" si="4"/>
        <v>2024-10-06</v>
      </c>
    </row>
    <row r="57" spans="1:12" x14ac:dyDescent="0.3">
      <c r="A57" t="s">
        <v>62</v>
      </c>
      <c r="B57" t="s">
        <v>112</v>
      </c>
      <c r="C57" t="str">
        <f t="shared" si="5"/>
        <v>Laptop</v>
      </c>
      <c r="D57" t="s">
        <v>115</v>
      </c>
      <c r="E57" t="s">
        <v>121</v>
      </c>
      <c r="F57" t="str">
        <f t="shared" si="6"/>
        <v>South</v>
      </c>
      <c r="G57">
        <v>1</v>
      </c>
      <c r="H57">
        <f t="shared" si="2"/>
        <v>2.03125</v>
      </c>
      <c r="I57">
        <v>200</v>
      </c>
      <c r="J57">
        <f t="shared" si="3"/>
        <v>200</v>
      </c>
      <c r="K57" t="s">
        <v>127</v>
      </c>
      <c r="L57" t="str">
        <f t="shared" si="4"/>
        <v/>
      </c>
    </row>
    <row r="58" spans="1:12" x14ac:dyDescent="0.3">
      <c r="A58" t="s">
        <v>63</v>
      </c>
      <c r="B58" t="s">
        <v>112</v>
      </c>
      <c r="C58" t="str">
        <f t="shared" si="5"/>
        <v>Laptop</v>
      </c>
      <c r="D58" t="s">
        <v>113</v>
      </c>
      <c r="E58" t="s">
        <v>122</v>
      </c>
      <c r="F58" t="str">
        <f t="shared" si="6"/>
        <v>East</v>
      </c>
      <c r="G58">
        <v>3</v>
      </c>
      <c r="H58">
        <f t="shared" si="2"/>
        <v>2.064516129032258</v>
      </c>
      <c r="I58" t="s">
        <v>123</v>
      </c>
      <c r="J58">
        <v>200</v>
      </c>
      <c r="K58" t="s">
        <v>127</v>
      </c>
      <c r="L58" t="str">
        <f t="shared" si="4"/>
        <v/>
      </c>
    </row>
    <row r="59" spans="1:12" x14ac:dyDescent="0.3">
      <c r="A59" t="s">
        <v>64</v>
      </c>
      <c r="B59" t="s">
        <v>112</v>
      </c>
      <c r="C59" t="str">
        <f t="shared" si="5"/>
        <v>Laptop</v>
      </c>
      <c r="D59" t="s">
        <v>114</v>
      </c>
      <c r="E59" t="s">
        <v>117</v>
      </c>
      <c r="F59" t="str">
        <f t="shared" si="6"/>
        <v>North</v>
      </c>
      <c r="G59">
        <v>1</v>
      </c>
      <c r="H59">
        <f t="shared" si="2"/>
        <v>2.0333333333333332</v>
      </c>
      <c r="I59">
        <v>300</v>
      </c>
      <c r="J59">
        <f t="shared" si="3"/>
        <v>300</v>
      </c>
      <c r="K59" t="s">
        <v>125</v>
      </c>
      <c r="L59" t="str">
        <f t="shared" si="4"/>
        <v>2024-06-05</v>
      </c>
    </row>
    <row r="60" spans="1:12" x14ac:dyDescent="0.3">
      <c r="A60" t="s">
        <v>65</v>
      </c>
      <c r="B60" t="s">
        <v>110</v>
      </c>
      <c r="C60" t="str">
        <f t="shared" si="5"/>
        <v>Keyboard</v>
      </c>
      <c r="D60" t="s">
        <v>113</v>
      </c>
      <c r="E60" t="s">
        <v>117</v>
      </c>
      <c r="F60" t="str">
        <f t="shared" si="6"/>
        <v>North</v>
      </c>
      <c r="H60">
        <f t="shared" si="2"/>
        <v>2.0689655172413794</v>
      </c>
      <c r="I60">
        <v>300</v>
      </c>
      <c r="J60">
        <f t="shared" si="3"/>
        <v>300</v>
      </c>
      <c r="K60" t="s">
        <v>128</v>
      </c>
      <c r="L60" t="str">
        <f t="shared" si="4"/>
        <v>2024-10-06</v>
      </c>
    </row>
    <row r="61" spans="1:12" x14ac:dyDescent="0.3">
      <c r="A61" t="s">
        <v>66</v>
      </c>
      <c r="B61" t="s">
        <v>109</v>
      </c>
      <c r="C61" t="str">
        <f t="shared" si="5"/>
        <v>Printer</v>
      </c>
      <c r="D61" t="s">
        <v>113</v>
      </c>
      <c r="E61" t="s">
        <v>119</v>
      </c>
      <c r="F61" t="str">
        <f t="shared" si="6"/>
        <v>West</v>
      </c>
      <c r="G61">
        <v>2</v>
      </c>
      <c r="H61">
        <f t="shared" si="2"/>
        <v>2.0689655172413794</v>
      </c>
      <c r="I61">
        <v>300</v>
      </c>
      <c r="J61">
        <f t="shared" si="3"/>
        <v>300</v>
      </c>
      <c r="K61" t="s">
        <v>126</v>
      </c>
      <c r="L61" t="str">
        <f t="shared" si="4"/>
        <v>2024-06-01</v>
      </c>
    </row>
    <row r="62" spans="1:12" x14ac:dyDescent="0.3">
      <c r="A62" t="s">
        <v>67</v>
      </c>
      <c r="B62" t="s">
        <v>107</v>
      </c>
      <c r="C62" t="str">
        <f t="shared" si="5"/>
        <v>Laptop</v>
      </c>
      <c r="D62" t="s">
        <v>115</v>
      </c>
      <c r="E62" t="s">
        <v>122</v>
      </c>
      <c r="F62" t="str">
        <f t="shared" si="6"/>
        <v>East</v>
      </c>
      <c r="H62">
        <f t="shared" si="2"/>
        <v>2.0714285714285716</v>
      </c>
      <c r="I62">
        <v>100</v>
      </c>
      <c r="J62">
        <f t="shared" si="3"/>
        <v>100</v>
      </c>
      <c r="K62" t="s">
        <v>128</v>
      </c>
      <c r="L62" t="str">
        <f t="shared" si="4"/>
        <v>2024-10-06</v>
      </c>
    </row>
    <row r="63" spans="1:12" x14ac:dyDescent="0.3">
      <c r="A63" t="s">
        <v>68</v>
      </c>
      <c r="B63" t="s">
        <v>110</v>
      </c>
      <c r="C63" t="str">
        <f t="shared" si="5"/>
        <v>Keyboard</v>
      </c>
      <c r="D63" t="s">
        <v>113</v>
      </c>
      <c r="E63" t="s">
        <v>120</v>
      </c>
      <c r="F63" t="str">
        <f t="shared" si="6"/>
        <v>North</v>
      </c>
      <c r="G63">
        <v>3</v>
      </c>
      <c r="H63">
        <f t="shared" si="2"/>
        <v>2.0714285714285716</v>
      </c>
      <c r="I63" t="s">
        <v>123</v>
      </c>
      <c r="J63">
        <v>200</v>
      </c>
      <c r="K63" t="s">
        <v>128</v>
      </c>
      <c r="L63" t="str">
        <f t="shared" si="4"/>
        <v>2024-10-06</v>
      </c>
    </row>
    <row r="64" spans="1:12" x14ac:dyDescent="0.3">
      <c r="A64" t="s">
        <v>69</v>
      </c>
      <c r="B64" t="s">
        <v>110</v>
      </c>
      <c r="C64" t="str">
        <f t="shared" si="5"/>
        <v>Keyboard</v>
      </c>
      <c r="D64" t="s">
        <v>116</v>
      </c>
      <c r="E64" t="s">
        <v>120</v>
      </c>
      <c r="F64" t="str">
        <f t="shared" si="6"/>
        <v>North</v>
      </c>
      <c r="G64">
        <v>3</v>
      </c>
      <c r="H64">
        <f t="shared" si="2"/>
        <v>2.0370370370370372</v>
      </c>
      <c r="I64" t="s">
        <v>123</v>
      </c>
      <c r="J64">
        <v>200</v>
      </c>
      <c r="K64" t="s">
        <v>125</v>
      </c>
      <c r="L64" t="str">
        <f t="shared" si="4"/>
        <v>2024-06-05</v>
      </c>
    </row>
    <row r="65" spans="1:12" x14ac:dyDescent="0.3">
      <c r="A65" t="s">
        <v>70</v>
      </c>
      <c r="B65" t="s">
        <v>110</v>
      </c>
      <c r="C65" t="str">
        <f t="shared" si="5"/>
        <v>Keyboard</v>
      </c>
      <c r="D65" t="s">
        <v>116</v>
      </c>
      <c r="E65" t="s">
        <v>120</v>
      </c>
      <c r="F65" t="str">
        <f t="shared" si="6"/>
        <v>North</v>
      </c>
      <c r="G65">
        <v>2</v>
      </c>
      <c r="H65">
        <f t="shared" si="2"/>
        <v>2</v>
      </c>
      <c r="I65" t="s">
        <v>123</v>
      </c>
      <c r="J65">
        <v>200</v>
      </c>
      <c r="K65" t="s">
        <v>128</v>
      </c>
      <c r="L65" t="str">
        <f t="shared" si="4"/>
        <v>2024-10-06</v>
      </c>
    </row>
    <row r="66" spans="1:12" x14ac:dyDescent="0.3">
      <c r="A66" t="s">
        <v>71</v>
      </c>
      <c r="B66" t="s">
        <v>112</v>
      </c>
      <c r="C66" t="str">
        <f t="shared" ref="C66:C97" si="7">IFERROR(VLOOKUP(B66, $O$2:$P$5, 2, FALSE), B66)</f>
        <v>Laptop</v>
      </c>
      <c r="D66" t="s">
        <v>113</v>
      </c>
      <c r="E66" t="s">
        <v>122</v>
      </c>
      <c r="F66" t="str">
        <f t="shared" ref="F66:F97" si="8">IFERROR(VLOOKUP(E66, $O$2:$P$5, 2, FALSE), E66)</f>
        <v>East</v>
      </c>
      <c r="G66">
        <v>3</v>
      </c>
      <c r="H66">
        <f t="shared" si="2"/>
        <v>2</v>
      </c>
      <c r="I66">
        <v>200</v>
      </c>
      <c r="J66">
        <f t="shared" si="3"/>
        <v>200</v>
      </c>
      <c r="K66" t="s">
        <v>127</v>
      </c>
      <c r="L66" t="str">
        <f t="shared" si="4"/>
        <v/>
      </c>
    </row>
    <row r="67" spans="1:12" x14ac:dyDescent="0.3">
      <c r="A67" t="s">
        <v>72</v>
      </c>
      <c r="B67" t="s">
        <v>109</v>
      </c>
      <c r="C67" t="str">
        <f t="shared" si="7"/>
        <v>Printer</v>
      </c>
      <c r="D67" t="s">
        <v>114</v>
      </c>
      <c r="E67" t="s">
        <v>119</v>
      </c>
      <c r="F67" t="str">
        <f t="shared" si="8"/>
        <v>West</v>
      </c>
      <c r="H67">
        <f t="shared" ref="H67:H100" si="9">AVERAGEIF(G67:G165, "&lt;&gt;")</f>
        <v>1.9583333333333333</v>
      </c>
      <c r="I67" t="s">
        <v>124</v>
      </c>
      <c r="J67">
        <f t="shared" ref="J67:J100" si="10">IFERROR(VALUE(I67), "")</f>
        <v>300</v>
      </c>
      <c r="K67" t="s">
        <v>125</v>
      </c>
      <c r="L67" t="str">
        <f t="shared" ref="L67:L100" si="11">IFERROR(TEXT(DATEVALUE(K67), "yyyy-mm-dd"), "")</f>
        <v>2024-06-05</v>
      </c>
    </row>
    <row r="68" spans="1:12" x14ac:dyDescent="0.3">
      <c r="A68" t="s">
        <v>73</v>
      </c>
      <c r="B68" t="s">
        <v>112</v>
      </c>
      <c r="C68" t="str">
        <f t="shared" si="7"/>
        <v>Laptop</v>
      </c>
      <c r="D68" t="s">
        <v>115</v>
      </c>
      <c r="E68" t="s">
        <v>120</v>
      </c>
      <c r="F68" t="str">
        <f t="shared" si="8"/>
        <v>North</v>
      </c>
      <c r="G68">
        <v>1</v>
      </c>
      <c r="H68">
        <f t="shared" si="9"/>
        <v>1.9583333333333333</v>
      </c>
      <c r="I68">
        <v>300</v>
      </c>
      <c r="J68">
        <f t="shared" si="10"/>
        <v>300</v>
      </c>
      <c r="K68" t="s">
        <v>128</v>
      </c>
      <c r="L68" t="str">
        <f t="shared" si="11"/>
        <v>2024-10-06</v>
      </c>
    </row>
    <row r="69" spans="1:12" x14ac:dyDescent="0.3">
      <c r="A69" t="s">
        <v>74</v>
      </c>
      <c r="B69" t="s">
        <v>112</v>
      </c>
      <c r="C69" t="str">
        <f t="shared" si="7"/>
        <v>Laptop</v>
      </c>
      <c r="D69" t="s">
        <v>115</v>
      </c>
      <c r="E69" t="s">
        <v>120</v>
      </c>
      <c r="F69" t="str">
        <f t="shared" si="8"/>
        <v>North</v>
      </c>
      <c r="G69">
        <v>3</v>
      </c>
      <c r="H69">
        <f t="shared" si="9"/>
        <v>2</v>
      </c>
      <c r="I69">
        <v>200</v>
      </c>
      <c r="J69">
        <f t="shared" si="10"/>
        <v>200</v>
      </c>
      <c r="K69" t="s">
        <v>125</v>
      </c>
      <c r="L69" t="str">
        <f t="shared" si="11"/>
        <v>2024-06-05</v>
      </c>
    </row>
    <row r="70" spans="1:12" x14ac:dyDescent="0.3">
      <c r="A70" t="s">
        <v>75</v>
      </c>
      <c r="B70" t="s">
        <v>107</v>
      </c>
      <c r="C70" t="str">
        <f t="shared" si="7"/>
        <v>Laptop</v>
      </c>
      <c r="D70" t="s">
        <v>115</v>
      </c>
      <c r="E70" t="s">
        <v>119</v>
      </c>
      <c r="F70" t="str">
        <f t="shared" si="8"/>
        <v>West</v>
      </c>
      <c r="G70">
        <v>1</v>
      </c>
      <c r="H70">
        <f t="shared" si="9"/>
        <v>1.9545454545454546</v>
      </c>
      <c r="I70" t="s">
        <v>124</v>
      </c>
      <c r="J70">
        <f t="shared" si="10"/>
        <v>300</v>
      </c>
      <c r="K70" t="s">
        <v>127</v>
      </c>
      <c r="L70" t="str">
        <f t="shared" si="11"/>
        <v/>
      </c>
    </row>
    <row r="71" spans="1:12" x14ac:dyDescent="0.3">
      <c r="A71" t="s">
        <v>76</v>
      </c>
      <c r="B71" t="s">
        <v>109</v>
      </c>
      <c r="C71" t="str">
        <f t="shared" si="7"/>
        <v>Printer</v>
      </c>
      <c r="D71" t="s">
        <v>115</v>
      </c>
      <c r="E71" t="s">
        <v>120</v>
      </c>
      <c r="F71" t="str">
        <f t="shared" si="8"/>
        <v>North</v>
      </c>
      <c r="H71">
        <f t="shared" si="9"/>
        <v>2</v>
      </c>
      <c r="I71" t="s">
        <v>124</v>
      </c>
      <c r="J71">
        <f t="shared" si="10"/>
        <v>300</v>
      </c>
      <c r="K71" t="s">
        <v>127</v>
      </c>
      <c r="L71" t="str">
        <f t="shared" si="11"/>
        <v/>
      </c>
    </row>
    <row r="72" spans="1:12" x14ac:dyDescent="0.3">
      <c r="A72" t="s">
        <v>77</v>
      </c>
      <c r="B72" t="s">
        <v>110</v>
      </c>
      <c r="C72" t="str">
        <f t="shared" si="7"/>
        <v>Keyboard</v>
      </c>
      <c r="D72" t="s">
        <v>113</v>
      </c>
      <c r="E72" t="s">
        <v>117</v>
      </c>
      <c r="F72" t="str">
        <f t="shared" si="8"/>
        <v>North</v>
      </c>
      <c r="H72">
        <f t="shared" si="9"/>
        <v>2</v>
      </c>
      <c r="I72">
        <v>200</v>
      </c>
      <c r="J72">
        <f t="shared" si="10"/>
        <v>200</v>
      </c>
      <c r="K72" t="s">
        <v>125</v>
      </c>
      <c r="L72" t="str">
        <f t="shared" si="11"/>
        <v>2024-06-05</v>
      </c>
    </row>
    <row r="73" spans="1:12" x14ac:dyDescent="0.3">
      <c r="A73" t="s">
        <v>78</v>
      </c>
      <c r="B73" t="s">
        <v>110</v>
      </c>
      <c r="C73" t="str">
        <f t="shared" si="7"/>
        <v>Keyboard</v>
      </c>
      <c r="D73" t="s">
        <v>116</v>
      </c>
      <c r="E73" t="s">
        <v>117</v>
      </c>
      <c r="F73" t="str">
        <f t="shared" si="8"/>
        <v>North</v>
      </c>
      <c r="G73">
        <v>2</v>
      </c>
      <c r="H73">
        <f t="shared" si="9"/>
        <v>2</v>
      </c>
      <c r="I73">
        <v>100</v>
      </c>
      <c r="J73">
        <f t="shared" si="10"/>
        <v>100</v>
      </c>
      <c r="K73" t="s">
        <v>127</v>
      </c>
      <c r="L73" t="str">
        <f t="shared" si="11"/>
        <v/>
      </c>
    </row>
    <row r="74" spans="1:12" x14ac:dyDescent="0.3">
      <c r="A74" t="s">
        <v>79</v>
      </c>
      <c r="B74" t="s">
        <v>111</v>
      </c>
      <c r="C74" t="str">
        <f t="shared" si="7"/>
        <v>Monitor</v>
      </c>
      <c r="D74" t="s">
        <v>114</v>
      </c>
      <c r="E74" t="s">
        <v>119</v>
      </c>
      <c r="F74" t="str">
        <f t="shared" si="8"/>
        <v>West</v>
      </c>
      <c r="H74">
        <f t="shared" si="9"/>
        <v>2</v>
      </c>
      <c r="I74" t="s">
        <v>123</v>
      </c>
      <c r="J74">
        <v>200</v>
      </c>
      <c r="K74" t="s">
        <v>127</v>
      </c>
      <c r="L74" t="str">
        <f t="shared" si="11"/>
        <v/>
      </c>
    </row>
    <row r="75" spans="1:12" x14ac:dyDescent="0.3">
      <c r="A75" t="s">
        <v>80</v>
      </c>
      <c r="B75" t="s">
        <v>110</v>
      </c>
      <c r="C75" t="str">
        <f t="shared" si="7"/>
        <v>Keyboard</v>
      </c>
      <c r="D75" t="s">
        <v>116</v>
      </c>
      <c r="E75" t="s">
        <v>119</v>
      </c>
      <c r="F75" t="str">
        <f t="shared" si="8"/>
        <v>West</v>
      </c>
      <c r="G75">
        <v>3</v>
      </c>
      <c r="H75">
        <f t="shared" si="9"/>
        <v>2</v>
      </c>
      <c r="I75">
        <v>200</v>
      </c>
      <c r="J75">
        <f t="shared" si="10"/>
        <v>200</v>
      </c>
      <c r="K75" t="s">
        <v>128</v>
      </c>
      <c r="L75" t="str">
        <f t="shared" si="11"/>
        <v>2024-10-06</v>
      </c>
    </row>
    <row r="76" spans="1:12" x14ac:dyDescent="0.3">
      <c r="A76" t="s">
        <v>81</v>
      </c>
      <c r="B76" t="s">
        <v>109</v>
      </c>
      <c r="C76" t="str">
        <f t="shared" si="7"/>
        <v>Printer</v>
      </c>
      <c r="D76" t="s">
        <v>116</v>
      </c>
      <c r="E76" t="s">
        <v>120</v>
      </c>
      <c r="F76" t="str">
        <f t="shared" si="8"/>
        <v>North</v>
      </c>
      <c r="G76">
        <v>2</v>
      </c>
      <c r="H76">
        <f t="shared" si="9"/>
        <v>1.9473684210526316</v>
      </c>
      <c r="I76">
        <v>300</v>
      </c>
      <c r="J76">
        <f t="shared" si="10"/>
        <v>300</v>
      </c>
      <c r="K76" t="s">
        <v>127</v>
      </c>
      <c r="L76" t="str">
        <f t="shared" si="11"/>
        <v/>
      </c>
    </row>
    <row r="77" spans="1:12" x14ac:dyDescent="0.3">
      <c r="A77" t="s">
        <v>82</v>
      </c>
      <c r="B77" t="s">
        <v>110</v>
      </c>
      <c r="C77" t="str">
        <f t="shared" si="7"/>
        <v>Keyboard</v>
      </c>
      <c r="D77" t="s">
        <v>115</v>
      </c>
      <c r="E77" t="s">
        <v>122</v>
      </c>
      <c r="F77" t="str">
        <f t="shared" si="8"/>
        <v>East</v>
      </c>
      <c r="G77">
        <v>3</v>
      </c>
      <c r="H77">
        <f t="shared" si="9"/>
        <v>1.9444444444444444</v>
      </c>
      <c r="I77">
        <v>300</v>
      </c>
      <c r="J77">
        <f t="shared" si="10"/>
        <v>300</v>
      </c>
      <c r="K77" t="s">
        <v>126</v>
      </c>
      <c r="L77" t="str">
        <f t="shared" si="11"/>
        <v>2024-06-01</v>
      </c>
    </row>
    <row r="78" spans="1:12" x14ac:dyDescent="0.3">
      <c r="A78" t="s">
        <v>83</v>
      </c>
      <c r="B78" t="s">
        <v>108</v>
      </c>
      <c r="C78" t="str">
        <f t="shared" si="7"/>
        <v>Mouse</v>
      </c>
      <c r="D78" t="s">
        <v>116</v>
      </c>
      <c r="E78" t="s">
        <v>120</v>
      </c>
      <c r="F78" t="str">
        <f t="shared" si="8"/>
        <v>North</v>
      </c>
      <c r="G78">
        <v>2</v>
      </c>
      <c r="H78">
        <f t="shared" si="9"/>
        <v>1.8823529411764706</v>
      </c>
      <c r="I78">
        <v>200</v>
      </c>
      <c r="J78">
        <f t="shared" si="10"/>
        <v>200</v>
      </c>
      <c r="K78" t="s">
        <v>126</v>
      </c>
      <c r="L78" t="str">
        <f t="shared" si="11"/>
        <v>2024-06-01</v>
      </c>
    </row>
    <row r="79" spans="1:12" x14ac:dyDescent="0.3">
      <c r="A79" t="s">
        <v>84</v>
      </c>
      <c r="B79" t="s">
        <v>110</v>
      </c>
      <c r="C79" t="str">
        <f t="shared" si="7"/>
        <v>Keyboard</v>
      </c>
      <c r="D79" t="s">
        <v>116</v>
      </c>
      <c r="E79" t="s">
        <v>119</v>
      </c>
      <c r="F79" t="str">
        <f t="shared" si="8"/>
        <v>West</v>
      </c>
      <c r="G79">
        <v>1</v>
      </c>
      <c r="H79">
        <f t="shared" si="9"/>
        <v>1.875</v>
      </c>
      <c r="I79">
        <v>200</v>
      </c>
      <c r="J79">
        <f t="shared" si="10"/>
        <v>200</v>
      </c>
      <c r="K79" t="s">
        <v>127</v>
      </c>
      <c r="L79" t="str">
        <f t="shared" si="11"/>
        <v/>
      </c>
    </row>
    <row r="80" spans="1:12" x14ac:dyDescent="0.3">
      <c r="A80" t="s">
        <v>85</v>
      </c>
      <c r="B80" t="s">
        <v>112</v>
      </c>
      <c r="C80" t="str">
        <f t="shared" si="7"/>
        <v>Laptop</v>
      </c>
      <c r="D80" t="s">
        <v>113</v>
      </c>
      <c r="E80" t="s">
        <v>118</v>
      </c>
      <c r="F80" t="str">
        <f t="shared" si="8"/>
        <v>South</v>
      </c>
      <c r="H80">
        <f t="shared" si="9"/>
        <v>1.9333333333333333</v>
      </c>
      <c r="I80" t="s">
        <v>124</v>
      </c>
      <c r="J80">
        <f t="shared" si="10"/>
        <v>300</v>
      </c>
      <c r="K80" t="s">
        <v>126</v>
      </c>
      <c r="L80" t="str">
        <f t="shared" si="11"/>
        <v>2024-06-01</v>
      </c>
    </row>
    <row r="81" spans="1:12" x14ac:dyDescent="0.3">
      <c r="A81" t="s">
        <v>86</v>
      </c>
      <c r="B81" t="s">
        <v>110</v>
      </c>
      <c r="C81" t="str">
        <f t="shared" si="7"/>
        <v>Keyboard</v>
      </c>
      <c r="D81" t="s">
        <v>116</v>
      </c>
      <c r="E81" t="s">
        <v>119</v>
      </c>
      <c r="F81" t="str">
        <f t="shared" si="8"/>
        <v>West</v>
      </c>
      <c r="G81">
        <v>2</v>
      </c>
      <c r="H81">
        <f t="shared" si="9"/>
        <v>1.9333333333333333</v>
      </c>
      <c r="I81" t="s">
        <v>124</v>
      </c>
      <c r="J81">
        <f t="shared" si="10"/>
        <v>300</v>
      </c>
      <c r="K81" t="s">
        <v>125</v>
      </c>
      <c r="L81" t="str">
        <f t="shared" si="11"/>
        <v>2024-06-05</v>
      </c>
    </row>
    <row r="82" spans="1:12" x14ac:dyDescent="0.3">
      <c r="A82" t="s">
        <v>87</v>
      </c>
      <c r="B82" t="s">
        <v>111</v>
      </c>
      <c r="C82" t="str">
        <f t="shared" si="7"/>
        <v>Monitor</v>
      </c>
      <c r="D82" t="s">
        <v>113</v>
      </c>
      <c r="E82" t="s">
        <v>119</v>
      </c>
      <c r="F82" t="str">
        <f t="shared" si="8"/>
        <v>West</v>
      </c>
      <c r="G82">
        <v>3</v>
      </c>
      <c r="H82">
        <f t="shared" si="9"/>
        <v>1.9285714285714286</v>
      </c>
      <c r="I82" t="s">
        <v>124</v>
      </c>
      <c r="J82">
        <f t="shared" si="10"/>
        <v>300</v>
      </c>
      <c r="K82" t="s">
        <v>125</v>
      </c>
      <c r="L82" t="str">
        <f t="shared" si="11"/>
        <v>2024-06-05</v>
      </c>
    </row>
    <row r="83" spans="1:12" x14ac:dyDescent="0.3">
      <c r="A83" t="s">
        <v>88</v>
      </c>
      <c r="B83" t="s">
        <v>108</v>
      </c>
      <c r="C83" t="str">
        <f t="shared" si="7"/>
        <v>Mouse</v>
      </c>
      <c r="D83" t="s">
        <v>113</v>
      </c>
      <c r="E83" t="s">
        <v>119</v>
      </c>
      <c r="F83" t="str">
        <f t="shared" si="8"/>
        <v>West</v>
      </c>
      <c r="G83">
        <v>1</v>
      </c>
      <c r="H83">
        <f t="shared" si="9"/>
        <v>1.8461538461538463</v>
      </c>
      <c r="I83">
        <v>100</v>
      </c>
      <c r="J83">
        <f t="shared" si="10"/>
        <v>100</v>
      </c>
      <c r="K83" t="s">
        <v>127</v>
      </c>
      <c r="L83" t="str">
        <f t="shared" si="11"/>
        <v/>
      </c>
    </row>
    <row r="84" spans="1:12" x14ac:dyDescent="0.3">
      <c r="A84" t="s">
        <v>89</v>
      </c>
      <c r="B84" t="s">
        <v>111</v>
      </c>
      <c r="C84" t="str">
        <f t="shared" si="7"/>
        <v>Monitor</v>
      </c>
      <c r="D84" t="s">
        <v>115</v>
      </c>
      <c r="E84" t="s">
        <v>117</v>
      </c>
      <c r="F84" t="str">
        <f t="shared" si="8"/>
        <v>North</v>
      </c>
      <c r="G84">
        <v>3</v>
      </c>
      <c r="H84">
        <f t="shared" si="9"/>
        <v>1.9166666666666667</v>
      </c>
      <c r="I84" t="s">
        <v>124</v>
      </c>
      <c r="J84">
        <f t="shared" si="10"/>
        <v>300</v>
      </c>
      <c r="K84" t="s">
        <v>128</v>
      </c>
      <c r="L84" t="str">
        <f t="shared" si="11"/>
        <v>2024-10-06</v>
      </c>
    </row>
    <row r="85" spans="1:12" x14ac:dyDescent="0.3">
      <c r="A85" t="s">
        <v>90</v>
      </c>
      <c r="B85" t="s">
        <v>110</v>
      </c>
      <c r="C85" t="str">
        <f t="shared" si="7"/>
        <v>Keyboard</v>
      </c>
      <c r="D85" t="s">
        <v>114</v>
      </c>
      <c r="E85" t="s">
        <v>119</v>
      </c>
      <c r="F85" t="str">
        <f t="shared" si="8"/>
        <v>West</v>
      </c>
      <c r="G85">
        <v>3</v>
      </c>
      <c r="H85">
        <f t="shared" si="9"/>
        <v>1.8181818181818181</v>
      </c>
      <c r="I85" t="s">
        <v>124</v>
      </c>
      <c r="J85">
        <f t="shared" si="10"/>
        <v>300</v>
      </c>
      <c r="K85" t="s">
        <v>128</v>
      </c>
      <c r="L85" t="str">
        <f t="shared" si="11"/>
        <v>2024-10-06</v>
      </c>
    </row>
    <row r="86" spans="1:12" x14ac:dyDescent="0.3">
      <c r="A86" t="s">
        <v>91</v>
      </c>
      <c r="B86" t="s">
        <v>111</v>
      </c>
      <c r="C86" t="str">
        <f t="shared" si="7"/>
        <v>Monitor</v>
      </c>
      <c r="D86" t="s">
        <v>113</v>
      </c>
      <c r="E86" t="s">
        <v>120</v>
      </c>
      <c r="F86" t="str">
        <f t="shared" si="8"/>
        <v>North</v>
      </c>
      <c r="G86">
        <v>1</v>
      </c>
      <c r="H86">
        <f t="shared" si="9"/>
        <v>1.7</v>
      </c>
      <c r="I86">
        <v>300</v>
      </c>
      <c r="J86">
        <f t="shared" si="10"/>
        <v>300</v>
      </c>
      <c r="K86" t="s">
        <v>125</v>
      </c>
      <c r="L86" t="str">
        <f t="shared" si="11"/>
        <v>2024-06-05</v>
      </c>
    </row>
    <row r="87" spans="1:12" x14ac:dyDescent="0.3">
      <c r="A87" t="s">
        <v>92</v>
      </c>
      <c r="B87" t="s">
        <v>112</v>
      </c>
      <c r="C87" t="str">
        <f t="shared" si="7"/>
        <v>Laptop</v>
      </c>
      <c r="D87" t="s">
        <v>113</v>
      </c>
      <c r="E87" t="s">
        <v>117</v>
      </c>
      <c r="F87" t="str">
        <f t="shared" si="8"/>
        <v>North</v>
      </c>
      <c r="G87">
        <v>2</v>
      </c>
      <c r="H87">
        <f t="shared" si="9"/>
        <v>1.7777777777777777</v>
      </c>
      <c r="I87">
        <v>200</v>
      </c>
      <c r="J87">
        <f t="shared" si="10"/>
        <v>200</v>
      </c>
      <c r="K87" t="s">
        <v>126</v>
      </c>
      <c r="L87" t="str">
        <f t="shared" si="11"/>
        <v>2024-06-01</v>
      </c>
    </row>
    <row r="88" spans="1:12" x14ac:dyDescent="0.3">
      <c r="A88" t="s">
        <v>93</v>
      </c>
      <c r="B88" t="s">
        <v>108</v>
      </c>
      <c r="C88" t="str">
        <f t="shared" si="7"/>
        <v>Mouse</v>
      </c>
      <c r="D88" t="s">
        <v>115</v>
      </c>
      <c r="E88" t="s">
        <v>119</v>
      </c>
      <c r="F88" t="str">
        <f t="shared" si="8"/>
        <v>West</v>
      </c>
      <c r="G88">
        <v>1</v>
      </c>
      <c r="H88">
        <f t="shared" si="9"/>
        <v>1.75</v>
      </c>
      <c r="I88" t="s">
        <v>123</v>
      </c>
      <c r="J88">
        <v>200</v>
      </c>
      <c r="K88" t="s">
        <v>125</v>
      </c>
      <c r="L88" t="str">
        <f t="shared" si="11"/>
        <v>2024-06-05</v>
      </c>
    </row>
    <row r="89" spans="1:12" x14ac:dyDescent="0.3">
      <c r="A89" t="s">
        <v>94</v>
      </c>
      <c r="B89" t="s">
        <v>110</v>
      </c>
      <c r="C89" t="str">
        <f t="shared" si="7"/>
        <v>Keyboard</v>
      </c>
      <c r="D89" t="s">
        <v>114</v>
      </c>
      <c r="E89" t="s">
        <v>121</v>
      </c>
      <c r="F89" t="str">
        <f t="shared" si="8"/>
        <v>South</v>
      </c>
      <c r="G89">
        <v>1</v>
      </c>
      <c r="H89">
        <f t="shared" si="9"/>
        <v>1.8571428571428572</v>
      </c>
      <c r="I89">
        <v>200</v>
      </c>
      <c r="J89">
        <f t="shared" si="10"/>
        <v>200</v>
      </c>
      <c r="K89" t="s">
        <v>128</v>
      </c>
      <c r="L89" t="str">
        <f t="shared" si="11"/>
        <v>2024-10-06</v>
      </c>
    </row>
    <row r="90" spans="1:12" x14ac:dyDescent="0.3">
      <c r="A90" t="s">
        <v>95</v>
      </c>
      <c r="B90" t="s">
        <v>107</v>
      </c>
      <c r="C90" t="str">
        <f t="shared" si="7"/>
        <v>Laptop</v>
      </c>
      <c r="D90" t="s">
        <v>114</v>
      </c>
      <c r="E90" t="s">
        <v>118</v>
      </c>
      <c r="F90" t="str">
        <f t="shared" si="8"/>
        <v>South</v>
      </c>
      <c r="H90">
        <f t="shared" si="9"/>
        <v>2</v>
      </c>
      <c r="I90" t="s">
        <v>124</v>
      </c>
      <c r="J90">
        <f t="shared" si="10"/>
        <v>300</v>
      </c>
      <c r="K90" t="s">
        <v>125</v>
      </c>
      <c r="L90" t="str">
        <f t="shared" si="11"/>
        <v>2024-06-05</v>
      </c>
    </row>
    <row r="91" spans="1:12" x14ac:dyDescent="0.3">
      <c r="A91" t="s">
        <v>96</v>
      </c>
      <c r="B91" t="s">
        <v>110</v>
      </c>
      <c r="C91" t="str">
        <f t="shared" si="7"/>
        <v>Keyboard</v>
      </c>
      <c r="D91" t="s">
        <v>115</v>
      </c>
      <c r="E91" t="s">
        <v>117</v>
      </c>
      <c r="F91" t="str">
        <f t="shared" si="8"/>
        <v>North</v>
      </c>
      <c r="G91">
        <v>3</v>
      </c>
      <c r="H91">
        <f t="shared" si="9"/>
        <v>2</v>
      </c>
      <c r="I91" t="s">
        <v>123</v>
      </c>
      <c r="J91">
        <v>200</v>
      </c>
      <c r="K91" t="s">
        <v>126</v>
      </c>
      <c r="L91" t="str">
        <f t="shared" si="11"/>
        <v>2024-06-01</v>
      </c>
    </row>
    <row r="92" spans="1:12" x14ac:dyDescent="0.3">
      <c r="A92" t="s">
        <v>97</v>
      </c>
      <c r="B92" t="s">
        <v>109</v>
      </c>
      <c r="C92" t="str">
        <f t="shared" si="7"/>
        <v>Printer</v>
      </c>
      <c r="D92" t="s">
        <v>113</v>
      </c>
      <c r="E92" t="s">
        <v>122</v>
      </c>
      <c r="F92" t="str">
        <f t="shared" si="8"/>
        <v>East</v>
      </c>
      <c r="H92">
        <f t="shared" si="9"/>
        <v>1.8</v>
      </c>
      <c r="I92">
        <v>300</v>
      </c>
      <c r="J92">
        <f t="shared" si="10"/>
        <v>300</v>
      </c>
      <c r="K92" t="s">
        <v>126</v>
      </c>
      <c r="L92" t="str">
        <f t="shared" si="11"/>
        <v>2024-06-01</v>
      </c>
    </row>
    <row r="93" spans="1:12" x14ac:dyDescent="0.3">
      <c r="A93" t="s">
        <v>98</v>
      </c>
      <c r="B93" t="s">
        <v>110</v>
      </c>
      <c r="C93" t="str">
        <f t="shared" si="7"/>
        <v>Keyboard</v>
      </c>
      <c r="D93" t="s">
        <v>113</v>
      </c>
      <c r="E93" t="s">
        <v>119</v>
      </c>
      <c r="F93" t="str">
        <f t="shared" si="8"/>
        <v>West</v>
      </c>
      <c r="H93">
        <f t="shared" si="9"/>
        <v>1.8</v>
      </c>
      <c r="I93">
        <v>100</v>
      </c>
      <c r="J93">
        <f t="shared" si="10"/>
        <v>100</v>
      </c>
      <c r="K93" t="s">
        <v>127</v>
      </c>
      <c r="L93" t="str">
        <f t="shared" si="11"/>
        <v/>
      </c>
    </row>
    <row r="94" spans="1:12" x14ac:dyDescent="0.3">
      <c r="A94" t="s">
        <v>99</v>
      </c>
      <c r="B94" t="s">
        <v>110</v>
      </c>
      <c r="C94" t="str">
        <f t="shared" si="7"/>
        <v>Keyboard</v>
      </c>
      <c r="D94" t="s">
        <v>116</v>
      </c>
      <c r="E94" t="s">
        <v>120</v>
      </c>
      <c r="F94" t="str">
        <f t="shared" si="8"/>
        <v>North</v>
      </c>
      <c r="G94">
        <v>2</v>
      </c>
      <c r="H94">
        <f t="shared" si="9"/>
        <v>1.8</v>
      </c>
      <c r="I94" t="s">
        <v>124</v>
      </c>
      <c r="J94">
        <f t="shared" si="10"/>
        <v>300</v>
      </c>
      <c r="K94" t="s">
        <v>125</v>
      </c>
      <c r="L94" t="str">
        <f t="shared" si="11"/>
        <v>2024-06-05</v>
      </c>
    </row>
    <row r="95" spans="1:12" x14ac:dyDescent="0.3">
      <c r="A95" t="s">
        <v>100</v>
      </c>
      <c r="B95" t="s">
        <v>110</v>
      </c>
      <c r="C95" t="str">
        <f t="shared" si="7"/>
        <v>Keyboard</v>
      </c>
      <c r="D95" t="s">
        <v>114</v>
      </c>
      <c r="E95" t="s">
        <v>118</v>
      </c>
      <c r="F95" t="str">
        <f t="shared" si="8"/>
        <v>South</v>
      </c>
      <c r="H95">
        <f t="shared" si="9"/>
        <v>1.75</v>
      </c>
      <c r="I95" t="s">
        <v>124</v>
      </c>
      <c r="J95">
        <f t="shared" si="10"/>
        <v>300</v>
      </c>
      <c r="K95" t="s">
        <v>127</v>
      </c>
      <c r="L95" t="str">
        <f t="shared" si="11"/>
        <v/>
      </c>
    </row>
    <row r="96" spans="1:12" x14ac:dyDescent="0.3">
      <c r="A96" t="s">
        <v>101</v>
      </c>
      <c r="B96" t="s">
        <v>109</v>
      </c>
      <c r="C96" t="str">
        <f t="shared" si="7"/>
        <v>Printer</v>
      </c>
      <c r="D96" t="s">
        <v>114</v>
      </c>
      <c r="E96" t="s">
        <v>122</v>
      </c>
      <c r="F96" t="str">
        <f t="shared" si="8"/>
        <v>East</v>
      </c>
      <c r="G96">
        <v>2</v>
      </c>
      <c r="H96">
        <f t="shared" si="9"/>
        <v>1.75</v>
      </c>
      <c r="I96">
        <v>100</v>
      </c>
      <c r="J96">
        <f t="shared" si="10"/>
        <v>100</v>
      </c>
      <c r="K96" t="s">
        <v>128</v>
      </c>
      <c r="L96" t="str">
        <f t="shared" si="11"/>
        <v>2024-10-06</v>
      </c>
    </row>
    <row r="97" spans="1:12" x14ac:dyDescent="0.3">
      <c r="A97" t="s">
        <v>102</v>
      </c>
      <c r="B97" t="s">
        <v>108</v>
      </c>
      <c r="C97" t="str">
        <f t="shared" si="7"/>
        <v>Mouse</v>
      </c>
      <c r="D97" t="s">
        <v>116</v>
      </c>
      <c r="E97" t="s">
        <v>118</v>
      </c>
      <c r="F97" t="str">
        <f t="shared" si="8"/>
        <v>South</v>
      </c>
      <c r="H97">
        <f t="shared" si="9"/>
        <v>1.6666666666666667</v>
      </c>
      <c r="I97">
        <v>300</v>
      </c>
      <c r="J97">
        <f t="shared" si="10"/>
        <v>300</v>
      </c>
      <c r="K97" t="s">
        <v>126</v>
      </c>
      <c r="L97" t="str">
        <f t="shared" si="11"/>
        <v>2024-06-01</v>
      </c>
    </row>
    <row r="98" spans="1:12" x14ac:dyDescent="0.3">
      <c r="A98" t="s">
        <v>103</v>
      </c>
      <c r="B98" t="s">
        <v>110</v>
      </c>
      <c r="C98" t="str">
        <f t="shared" ref="C98:C129" si="12">IFERROR(VLOOKUP(B98, $O$2:$P$5, 2, FALSE), B98)</f>
        <v>Keyboard</v>
      </c>
      <c r="D98" t="s">
        <v>115</v>
      </c>
      <c r="E98" t="s">
        <v>119</v>
      </c>
      <c r="F98" t="str">
        <f t="shared" ref="F98:F129" si="13">IFERROR(VLOOKUP(E98, $O$2:$P$5, 2, FALSE), E98)</f>
        <v>West</v>
      </c>
      <c r="G98">
        <v>2</v>
      </c>
      <c r="H98">
        <f t="shared" si="9"/>
        <v>1.6666666666666667</v>
      </c>
      <c r="I98">
        <v>300</v>
      </c>
      <c r="J98">
        <f t="shared" si="10"/>
        <v>300</v>
      </c>
      <c r="K98" t="s">
        <v>128</v>
      </c>
      <c r="L98" t="str">
        <f t="shared" si="11"/>
        <v>2024-10-06</v>
      </c>
    </row>
    <row r="99" spans="1:12" x14ac:dyDescent="0.3">
      <c r="A99" t="s">
        <v>104</v>
      </c>
      <c r="B99" t="s">
        <v>109</v>
      </c>
      <c r="C99" t="str">
        <f t="shared" si="12"/>
        <v>Printer</v>
      </c>
      <c r="D99" t="s">
        <v>114</v>
      </c>
      <c r="E99" t="s">
        <v>118</v>
      </c>
      <c r="F99" t="str">
        <f t="shared" si="13"/>
        <v>South</v>
      </c>
      <c r="G99">
        <v>1</v>
      </c>
      <c r="H99">
        <f t="shared" si="9"/>
        <v>1.5</v>
      </c>
      <c r="I99" t="s">
        <v>123</v>
      </c>
      <c r="J99">
        <v>200</v>
      </c>
      <c r="K99" t="s">
        <v>125</v>
      </c>
      <c r="L99" t="str">
        <f t="shared" si="11"/>
        <v>2024-06-05</v>
      </c>
    </row>
    <row r="100" spans="1:12" x14ac:dyDescent="0.3">
      <c r="A100" t="s">
        <v>105</v>
      </c>
      <c r="B100" t="s">
        <v>110</v>
      </c>
      <c r="C100" t="str">
        <f t="shared" si="12"/>
        <v>Keyboard</v>
      </c>
      <c r="D100" t="s">
        <v>116</v>
      </c>
      <c r="E100" t="s">
        <v>119</v>
      </c>
      <c r="F100" t="str">
        <f t="shared" si="13"/>
        <v>West</v>
      </c>
      <c r="G100">
        <v>2</v>
      </c>
      <c r="H100">
        <f t="shared" si="9"/>
        <v>2</v>
      </c>
      <c r="I100" t="s">
        <v>124</v>
      </c>
      <c r="J100">
        <f t="shared" si="10"/>
        <v>300</v>
      </c>
      <c r="K100" t="s">
        <v>127</v>
      </c>
      <c r="L100" t="str">
        <f t="shared" si="11"/>
        <v/>
      </c>
    </row>
  </sheetData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20977d3-e5b6-4195-9522-2071cc7a7d6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9D3B1A3CBCA94C9C619CD08E0E4046" ma:contentTypeVersion="17" ma:contentTypeDescription="Create a new document." ma:contentTypeScope="" ma:versionID="9318375d1ce6441558b5f48286c88a85">
  <xsd:schema xmlns:xsd="http://www.w3.org/2001/XMLSchema" xmlns:xs="http://www.w3.org/2001/XMLSchema" xmlns:p="http://schemas.microsoft.com/office/2006/metadata/properties" xmlns:ns3="520977d3-e5b6-4195-9522-2071cc7a7d60" xmlns:ns4="ff7972f0-e6b1-4e81-bd6d-6d5a7ea56092" targetNamespace="http://schemas.microsoft.com/office/2006/metadata/properties" ma:root="true" ma:fieldsID="4e16bed0848fef8ca41883df276aa630" ns3:_="" ns4:_="">
    <xsd:import namespace="520977d3-e5b6-4195-9522-2071cc7a7d60"/>
    <xsd:import namespace="ff7972f0-e6b1-4e81-bd6d-6d5a7ea5609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0977d3-e5b6-4195-9522-2071cc7a7d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7972f0-e6b1-4e81-bd6d-6d5a7ea5609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C289FD5-3044-446B-9FC6-BEE5F67D47C2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ff7972f0-e6b1-4e81-bd6d-6d5a7ea56092"/>
    <ds:schemaRef ds:uri="520977d3-e5b6-4195-9522-2071cc7a7d60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1FC17B78-1037-4673-86AB-A8B29A8862C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5FC7CD1-CF3B-407C-A5A8-920FB89BB8A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0977d3-e5b6-4195-9522-2071cc7a7d60"/>
    <ds:schemaRef ds:uri="ff7972f0-e6b1-4e81-bd6d-6d5a7ea5609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Junny Nguy</dc:creator>
  <cp:lastModifiedBy>Nguy Thi Lan Anh 20202019</cp:lastModifiedBy>
  <cp:lastPrinted>2025-07-02T09:46:00Z</cp:lastPrinted>
  <dcterms:created xsi:type="dcterms:W3CDTF">2025-07-02T08:55:40Z</dcterms:created>
  <dcterms:modified xsi:type="dcterms:W3CDTF">2025-07-04T14:49:34Z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0x0101006D9D3B1A3CBCA94C9C619CD08E0E4046</vt:lpwstr>
  </property>
</Properties>
</file>