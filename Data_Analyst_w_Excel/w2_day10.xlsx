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 - Hanoi University of Science and Technology\Desktop\CodingSpace\Data_Analyst_w_Excel\"/>
    </mc:Choice>
  </mc:AlternateContent>
  <xr:revisionPtr revIDLastSave="0" documentId="8_{CC4FDA91-7BD6-4D40-9A9E-95CB13C21FE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ột" sheetId="3" r:id="rId1"/>
    <sheet name="đường" sheetId="4" r:id="rId2"/>
    <sheet name="kết hợp" sheetId="6" r:id="rId3"/>
    <sheet name="Bai tap chinh" sheetId="1" r:id="rId4"/>
    <sheet name="Bang luong tra cuu" sheetId="2" r:id="rId5"/>
  </sheets>
  <calcPr calcId="191029"/>
  <pivotCaches>
    <pivotCache cacheId="1" r:id="rId6"/>
    <pivotCache cacheId="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</calcChain>
</file>

<file path=xl/sharedStrings.xml><?xml version="1.0" encoding="utf-8"?>
<sst xmlns="http://schemas.openxmlformats.org/spreadsheetml/2006/main" count="152" uniqueCount="39">
  <si>
    <t>Nhân viên</t>
  </si>
  <si>
    <t>Bộ phận</t>
  </si>
  <si>
    <t>Doanh thu</t>
  </si>
  <si>
    <t>Trạng thái</t>
  </si>
  <si>
    <t>Tên viết hoa</t>
  </si>
  <si>
    <t>Ngày bắt đầu</t>
  </si>
  <si>
    <t>Ngày kết thúc</t>
  </si>
  <si>
    <t>Hoang Van E</t>
  </si>
  <si>
    <t>Dang Thi F</t>
  </si>
  <si>
    <t>Trinh Van I</t>
  </si>
  <si>
    <t>Nguyen Van A</t>
  </si>
  <si>
    <t>Bui Van G</t>
  </si>
  <si>
    <t>Pham Thi D</t>
  </si>
  <si>
    <t>Do Thi H</t>
  </si>
  <si>
    <t>Le Van C</t>
  </si>
  <si>
    <t>Tran Thi B</t>
  </si>
  <si>
    <t>Nguyen Thi J</t>
  </si>
  <si>
    <t>Sales</t>
  </si>
  <si>
    <t>HR</t>
  </si>
  <si>
    <t>IT</t>
  </si>
  <si>
    <t>Marketing</t>
  </si>
  <si>
    <t>Hoàn thành</t>
  </si>
  <si>
    <t>Chưa hoàn</t>
  </si>
  <si>
    <t>HOANG VAN E</t>
  </si>
  <si>
    <t>DANG THI F</t>
  </si>
  <si>
    <t>TRINH VAN I</t>
  </si>
  <si>
    <t>NGUYEN VAN A</t>
  </si>
  <si>
    <t>BUI VAN G</t>
  </si>
  <si>
    <t>PHAM THI D</t>
  </si>
  <si>
    <t>DO THI H</t>
  </si>
  <si>
    <t>LE VAN C</t>
  </si>
  <si>
    <t>TRAN THI B</t>
  </si>
  <si>
    <t>NGUYEN THI J</t>
  </si>
  <si>
    <t>Lương cơ bản</t>
  </si>
  <si>
    <t>Row Labels</t>
  </si>
  <si>
    <t>Grand Total</t>
  </si>
  <si>
    <t>Sum of Doanh thu</t>
  </si>
  <si>
    <t>Average of Doanh thu</t>
  </si>
  <si>
    <t>Max of Lương cơ bản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</si>
</sst>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[w2_day10.xlsx]cột!PivotTable1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Tổng</a:t>
            </a:r>
            <a:r>
              <a:rPr lang="en-US" b="1" baseline="0"/>
              <a:t> doanh thu theo bộ phận</a:t>
            </a:r>
            <a:endParaRPr lang="en-US" b="1"/>
          </a:p>
        </c:rich>
      </c:tx>
      <c:layout>
        <c:manualLayout>
          <c:xMode val="edge"/>
          <c:yMode val="edge"/>
          <c:x val="0.27861111111111109"/>
          <c:y val="0.11472003499562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cột!$B$3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cột!$A$4:$A$8</c:f>
              <c:strCache>
                <c:ptCount val="4"/>
                <c:pt idx="0">
                  <c:v>HR</c:v>
                </c:pt>
                <c:pt idx="1">
                  <c:v>IT</c:v>
                </c:pt>
                <c:pt idx="2">
                  <c:v>Marketing</c:v>
                </c:pt>
                <c:pt idx="3">
                  <c:v>Sales</c:v>
                </c:pt>
              </c:strCache>
            </c:strRef>
          </c:cat>
          <c:val>
            <c:numRef>
              <c:f>cột!$B$4:$B$8</c:f>
              <c:numCache>
                <c:formatCode>General</c:formatCode>
                <c:ptCount val="4"/>
                <c:pt idx="0">
                  <c:v>41062</c:v>
                </c:pt>
                <c:pt idx="1">
                  <c:v>35971</c:v>
                </c:pt>
                <c:pt idx="2">
                  <c:v>55563</c:v>
                </c:pt>
                <c:pt idx="3">
                  <c:v>37502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A8-4B6B-87B0-E379D380E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164520"/>
        <c:axId val="781162720"/>
      </c:barChart>
      <c:catAx>
        <c:axId val="781164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162720"/>
        <c:crosses val="autoZero"/>
        <c:auto val="1"/>
        <c:lblAlgn val="ctr"/>
        <c:lblOffset val="100"/>
        <c:noMultiLvlLbl val="0"/>
      </c:catAx>
      <c:valAx>
        <c:axId val="78116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164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[w2_day10.xlsx]đường!PivotTable2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Tổng</a:t>
            </a:r>
            <a:r>
              <a:rPr lang="en-US" baseline="0"/>
              <a:t> doanh thu theo ngày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EE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đường!$B$3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E0000"/>
              </a:solidFill>
              <a:round/>
            </a:ln>
            <a:effectLst/>
          </c:spPr>
          <c:marker>
            <c:symbol val="none"/>
          </c:marker>
          <c:cat>
            <c:strRef>
              <c:f>đường!$A$4:$A$21</c:f>
              <c:strCache>
                <c:ptCount val="17"/>
                <c:pt idx="0">
                  <c:v>01/06/2024</c:v>
                </c:pt>
                <c:pt idx="1">
                  <c:v>02/06/2024</c:v>
                </c:pt>
                <c:pt idx="2">
                  <c:v>03/06/2024</c:v>
                </c:pt>
                <c:pt idx="3">
                  <c:v>04/06/2024</c:v>
                </c:pt>
                <c:pt idx="4">
                  <c:v>05/06/2024</c:v>
                </c:pt>
                <c:pt idx="5">
                  <c:v>06/06/2024</c:v>
                </c:pt>
                <c:pt idx="6">
                  <c:v>07/06/2024</c:v>
                </c:pt>
                <c:pt idx="7">
                  <c:v>09/06/2024</c:v>
                </c:pt>
                <c:pt idx="8">
                  <c:v>10/06/2024</c:v>
                </c:pt>
                <c:pt idx="9">
                  <c:v>11/06/2024</c:v>
                </c:pt>
                <c:pt idx="10">
                  <c:v>13/06/2024</c:v>
                </c:pt>
                <c:pt idx="11">
                  <c:v>14/06/2024</c:v>
                </c:pt>
                <c:pt idx="12">
                  <c:v>15/06/2024</c:v>
                </c:pt>
                <c:pt idx="13">
                  <c:v>16/06/2024</c:v>
                </c:pt>
                <c:pt idx="14">
                  <c:v>17/06/2024</c:v>
                </c:pt>
                <c:pt idx="15">
                  <c:v>18/06/2024</c:v>
                </c:pt>
                <c:pt idx="16">
                  <c:v>19/06/2024</c:v>
                </c:pt>
              </c:strCache>
            </c:strRef>
          </c:cat>
          <c:val>
            <c:numRef>
              <c:f>đường!$B$4:$B$21</c:f>
              <c:numCache>
                <c:formatCode>General</c:formatCode>
                <c:ptCount val="17"/>
                <c:pt idx="0">
                  <c:v>2125</c:v>
                </c:pt>
                <c:pt idx="1">
                  <c:v>8864</c:v>
                </c:pt>
                <c:pt idx="2">
                  <c:v>25535</c:v>
                </c:pt>
                <c:pt idx="3">
                  <c:v>7544</c:v>
                </c:pt>
                <c:pt idx="4">
                  <c:v>4239</c:v>
                </c:pt>
                <c:pt idx="5">
                  <c:v>9965</c:v>
                </c:pt>
                <c:pt idx="6">
                  <c:v>5102</c:v>
                </c:pt>
                <c:pt idx="7">
                  <c:v>2077</c:v>
                </c:pt>
                <c:pt idx="8">
                  <c:v>14196</c:v>
                </c:pt>
                <c:pt idx="9">
                  <c:v>6350</c:v>
                </c:pt>
                <c:pt idx="10">
                  <c:v>2646</c:v>
                </c:pt>
                <c:pt idx="11">
                  <c:v>30822</c:v>
                </c:pt>
                <c:pt idx="12">
                  <c:v>18390</c:v>
                </c:pt>
                <c:pt idx="13">
                  <c:v>4925</c:v>
                </c:pt>
                <c:pt idx="14">
                  <c:v>14112</c:v>
                </c:pt>
                <c:pt idx="15">
                  <c:v>2927</c:v>
                </c:pt>
                <c:pt idx="16">
                  <c:v>10279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BA-48B6-8B99-DB29FA84E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6521640"/>
        <c:axId val="881457064"/>
      </c:lineChart>
      <c:catAx>
        <c:axId val="626521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1457064"/>
        <c:crosses val="autoZero"/>
        <c:auto val="1"/>
        <c:lblAlgn val="ctr"/>
        <c:lblOffset val="100"/>
        <c:noMultiLvlLbl val="0"/>
      </c:catAx>
      <c:valAx>
        <c:axId val="881457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521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[w2_day10.xlsx]kết hợp!PivotTable4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'kết hợp'!$B$3</c:f>
              <c:strCache>
                <c:ptCount val="1"/>
                <c:pt idx="0">
                  <c:v>Average of Doanh thu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'kết hợp'!$A$4:$A$8</c:f>
              <c:strCache>
                <c:ptCount val="4"/>
                <c:pt idx="0">
                  <c:v>HR</c:v>
                </c:pt>
                <c:pt idx="1">
                  <c:v>IT</c:v>
                </c:pt>
                <c:pt idx="2">
                  <c:v>Marketing</c:v>
                </c:pt>
                <c:pt idx="3">
                  <c:v>Sales</c:v>
                </c:pt>
              </c:strCache>
            </c:strRef>
          </c:cat>
          <c:val>
            <c:numRef>
              <c:f>'kết hợp'!$B$4:$B$8</c:f>
              <c:numCache>
                <c:formatCode>General</c:formatCode>
                <c:ptCount val="4"/>
                <c:pt idx="0">
                  <c:v>5866</c:v>
                </c:pt>
                <c:pt idx="1">
                  <c:v>5138.7142857142853</c:v>
                </c:pt>
                <c:pt idx="2">
                  <c:v>6173.666666666667</c:v>
                </c:pt>
                <c:pt idx="3">
                  <c:v>5357.4285714285716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46-4408-93E1-4803127AA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9492584"/>
        <c:axId val="1049485384"/>
      </c:barChart>
      <c:lineChart>
        <c:grouping val="standard"/>
        <c:varyColors val="0"/>
        <c:ser>
          <c:idx val="1"/>
          <c:order val="1"/>
          <c:tx>
            <c:strRef>
              <c:f>'kết hợp'!$C$3</c:f>
              <c:strCache>
                <c:ptCount val="1"/>
                <c:pt idx="0">
                  <c:v>Max of Lương cơ bản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'kết hợp'!$A$4:$A$8</c:f>
              <c:strCache>
                <c:ptCount val="4"/>
                <c:pt idx="0">
                  <c:v>HR</c:v>
                </c:pt>
                <c:pt idx="1">
                  <c:v>IT</c:v>
                </c:pt>
                <c:pt idx="2">
                  <c:v>Marketing</c:v>
                </c:pt>
                <c:pt idx="3">
                  <c:v>Sales</c:v>
                </c:pt>
              </c:strCache>
            </c:strRef>
          </c:cat>
          <c:val>
            <c:numRef>
              <c:f>'kết hợp'!$C$4:$C$8</c:f>
              <c:numCache>
                <c:formatCode>General</c:formatCode>
                <c:ptCount val="4"/>
                <c:pt idx="0">
                  <c:v>4000</c:v>
                </c:pt>
                <c:pt idx="1">
                  <c:v>6500</c:v>
                </c:pt>
                <c:pt idx="2">
                  <c:v>5500</c:v>
                </c:pt>
                <c:pt idx="3">
                  <c:v>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46-4408-93E1-4803127AA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9492584"/>
        <c:axId val="1049485384"/>
      </c:lineChart>
      <c:catAx>
        <c:axId val="1049492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485384"/>
        <c:crosses val="autoZero"/>
        <c:auto val="1"/>
        <c:lblAlgn val="ctr"/>
        <c:lblOffset val="100"/>
        <c:noMultiLvlLbl val="0"/>
      </c:catAx>
      <c:valAx>
        <c:axId val="1049485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492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3</xdr:row>
      <xdr:rowOff>87630</xdr:rowOff>
    </xdr:from>
    <xdr:to>
      <xdr:col>11</xdr:col>
      <xdr:colOff>571500</xdr:colOff>
      <xdr:row>18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EADE76-85AB-CCBF-DA23-5E3976AA2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502920</xdr:colOff>
      <xdr:row>3</xdr:row>
      <xdr:rowOff>140970</xdr:rowOff>
    </xdr:from>
    <xdr:to>
      <xdr:col>12</xdr:col>
      <xdr:colOff>198120</xdr:colOff>
      <xdr:row>18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9794D6-E8A9-2639-47BE-0F21C7D1FC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548640</xdr:colOff>
      <xdr:row>0</xdr:row>
      <xdr:rowOff>148590</xdr:rowOff>
    </xdr:from>
    <xdr:to>
      <xdr:col>12</xdr:col>
      <xdr:colOff>243840</xdr:colOff>
      <xdr:row>15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18B7E3-5EE2-A29F-FCB5-1DBAFE704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841.469241782404" createdVersion="8" refreshedVersion="8" minRefreshableVersion="3" recordCount="31" xr:uid="{D982B1C0-D508-4C91-ADC3-736E0CD3D96E}">
  <cacheSource type="worksheet">
    <worksheetSource ref="A1:G1048576" sheet="Bai tap chinh"/>
  </cacheSource>
  <cacheFields count="7">
    <cacheField name="Nhân viên" numFmtId="0">
      <sharedItems containsBlank="1"/>
    </cacheField>
    <cacheField name="Bộ phận" numFmtId="0">
      <sharedItems containsBlank="1" count="5">
        <s v="Sales"/>
        <s v="HR"/>
        <s v="IT"/>
        <s v="Marketing"/>
        <m/>
      </sharedItems>
    </cacheField>
    <cacheField name="Doanh thu" numFmtId="0">
      <sharedItems containsString="0" containsBlank="1" containsNumber="1" containsInteger="1" minValue="2077" maxValue="9965"/>
    </cacheField>
    <cacheField name="Trạng thái" numFmtId="0">
      <sharedItems containsBlank="1"/>
    </cacheField>
    <cacheField name="Tên viết hoa" numFmtId="0">
      <sharedItems containsBlank="1"/>
    </cacheField>
    <cacheField name="Ngày bắt đầu" numFmtId="0">
      <sharedItems containsNonDate="0" containsDate="1" containsString="0" containsBlank="1" minDate="2024-06-01T00:00:00" maxDate="2024-06-20T00:00:00" count="18">
        <d v="2024-06-17T00:00:00"/>
        <d v="2024-06-05T00:00:00"/>
        <d v="2024-06-14T00:00:00"/>
        <d v="2024-06-11T00:00:00"/>
        <d v="2024-06-15T00:00:00"/>
        <d v="2024-06-03T00:00:00"/>
        <d v="2024-06-18T00:00:00"/>
        <d v="2024-06-16T00:00:00"/>
        <d v="2024-06-04T00:00:00"/>
        <d v="2024-06-10T00:00:00"/>
        <d v="2024-06-06T00:00:00"/>
        <d v="2024-06-19T00:00:00"/>
        <d v="2024-06-13T00:00:00"/>
        <d v="2024-06-02T00:00:00"/>
        <d v="2024-06-01T00:00:00"/>
        <d v="2024-06-09T00:00:00"/>
        <d v="2024-06-07T00:00:00"/>
        <m/>
      </sharedItems>
    </cacheField>
    <cacheField name="Ngày kết thúc" numFmtId="0">
      <sharedItems containsNonDate="0" containsDate="1" containsString="0" containsBlank="1" minDate="2024-06-05T00:00:00" maxDate="2024-06-28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841.476233796297" createdVersion="8" refreshedVersion="8" minRefreshableVersion="3" recordCount="31" xr:uid="{6E9E60C5-5EA1-4928-9363-796DF6544FC5}">
  <cacheSource type="worksheet">
    <worksheetSource ref="A1:H1048576" sheet="Bai tap chinh"/>
  </cacheSource>
  <cacheFields count="8">
    <cacheField name="Nhân viên" numFmtId="0">
      <sharedItems containsBlank="1"/>
    </cacheField>
    <cacheField name="Bộ phận" numFmtId="0">
      <sharedItems containsBlank="1" count="5">
        <s v="Sales"/>
        <s v="HR"/>
        <s v="IT"/>
        <s v="Marketing"/>
        <m/>
      </sharedItems>
    </cacheField>
    <cacheField name="Doanh thu" numFmtId="0">
      <sharedItems containsString="0" containsBlank="1" containsNumber="1" containsInteger="1" minValue="2077" maxValue="9965"/>
    </cacheField>
    <cacheField name="Trạng thái" numFmtId="0">
      <sharedItems containsBlank="1"/>
    </cacheField>
    <cacheField name="Tên viết hoa" numFmtId="0">
      <sharedItems containsBlank="1"/>
    </cacheField>
    <cacheField name="Ngày bắt đầu" numFmtId="0">
      <sharedItems containsNonDate="0" containsDate="1" containsString="0" containsBlank="1" minDate="2024-06-01T00:00:00" maxDate="2024-06-20T00:00:00"/>
    </cacheField>
    <cacheField name="Ngày kết thúc" numFmtId="0">
      <sharedItems containsNonDate="0" containsDate="1" containsString="0" containsBlank="1" minDate="2024-06-05T00:00:00" maxDate="2024-06-28T00:00:00"/>
    </cacheField>
    <cacheField name="Lương cơ bản" numFmtId="0">
      <sharedItems containsString="0" containsBlank="1" containsNumber="1" containsInteger="1" minValue="4000" maxValue="6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Hoang Van E"/>
    <x v="0"/>
    <n v="5950"/>
    <s v="Hoàn thành"/>
    <s v="HOANG VAN E"/>
    <x v="0"/>
    <d v="2024-06-24T00:00:00"/>
  </r>
  <r>
    <s v="Dang Thi F"/>
    <x v="1"/>
    <n v="4239"/>
    <s v="Chưa hoàn"/>
    <s v="DANG THI F"/>
    <x v="1"/>
    <d v="2024-06-13T00:00:00"/>
  </r>
  <r>
    <s v="Trinh Van I"/>
    <x v="1"/>
    <n v="8269"/>
    <s v="Chưa hoàn"/>
    <s v="TRINH VAN I"/>
    <x v="2"/>
    <d v="2024-06-20T00:00:00"/>
  </r>
  <r>
    <s v="Nguyen Van A"/>
    <x v="2"/>
    <n v="6350"/>
    <s v="Chưa hoàn"/>
    <s v="NGUYEN VAN A"/>
    <x v="3"/>
    <d v="2024-06-16T00:00:00"/>
  </r>
  <r>
    <s v="Bui Van G"/>
    <x v="3"/>
    <n v="4741"/>
    <s v="Hoàn thành"/>
    <s v="BUI VAN G"/>
    <x v="4"/>
    <d v="2024-06-20T00:00:00"/>
  </r>
  <r>
    <s v="Pham Thi D"/>
    <x v="1"/>
    <n v="8123"/>
    <s v="Chưa hoàn"/>
    <s v="PHAM THI D"/>
    <x v="2"/>
    <d v="2024-06-23T00:00:00"/>
  </r>
  <r>
    <s v="Do Thi H"/>
    <x v="2"/>
    <n v="7700"/>
    <s v="Chưa hoàn"/>
    <s v="DO THI H"/>
    <x v="5"/>
    <d v="2024-06-12T00:00:00"/>
  </r>
  <r>
    <s v="Do Thi H"/>
    <x v="3"/>
    <n v="2927"/>
    <s v="Hoàn thành"/>
    <s v="DO THI H"/>
    <x v="6"/>
    <d v="2024-06-21T00:00:00"/>
  </r>
  <r>
    <s v="Pham Thi D"/>
    <x v="2"/>
    <n v="4925"/>
    <s v="Hoàn thành"/>
    <s v="PHAM THI D"/>
    <x v="7"/>
    <d v="2024-06-19T00:00:00"/>
  </r>
  <r>
    <s v="Hoang Van E"/>
    <x v="1"/>
    <n v="8783"/>
    <s v="Hoàn thành"/>
    <s v="HOANG VAN E"/>
    <x v="5"/>
    <d v="2024-06-10T00:00:00"/>
  </r>
  <r>
    <s v="Dang Thi F"/>
    <x v="0"/>
    <n v="7544"/>
    <s v="Chưa hoàn"/>
    <s v="DANG THI F"/>
    <x v="8"/>
    <d v="2024-06-10T00:00:00"/>
  </r>
  <r>
    <s v="Le Van C"/>
    <x v="0"/>
    <n v="4811"/>
    <s v="Hoàn thành"/>
    <s v="LE VAN C"/>
    <x v="9"/>
    <d v="2024-06-18T00:00:00"/>
  </r>
  <r>
    <s v="Pham Thi D"/>
    <x v="2"/>
    <n v="5680"/>
    <s v="Chưa hoàn"/>
    <s v="PHAM THI D"/>
    <x v="4"/>
    <d v="2024-06-20T00:00:00"/>
  </r>
  <r>
    <s v="Nguyen Van A"/>
    <x v="3"/>
    <n v="9965"/>
    <s v="Hoàn thành"/>
    <s v="NGUYEN VAN A"/>
    <x v="10"/>
    <d v="2024-06-08T00:00:00"/>
  </r>
  <r>
    <s v="Dang Thi F"/>
    <x v="1"/>
    <n v="5248"/>
    <s v="Chưa hoàn"/>
    <s v="DANG THI F"/>
    <x v="11"/>
    <d v="2024-06-21T00:00:00"/>
  </r>
  <r>
    <s v="Nguyen Van A"/>
    <x v="3"/>
    <n v="5062"/>
    <s v="Hoàn thành"/>
    <s v="NGUYEN VAN A"/>
    <x v="9"/>
    <d v="2024-06-13T00:00:00"/>
  </r>
  <r>
    <s v="Tran Thi B"/>
    <x v="0"/>
    <n v="2950"/>
    <s v="Chưa hoàn"/>
    <s v="TRAN THI B"/>
    <x v="11"/>
    <d v="2024-06-27T00:00:00"/>
  </r>
  <r>
    <s v="Nguyen Thi J"/>
    <x v="2"/>
    <n v="2899"/>
    <s v="Hoàn thành"/>
    <s v="NGUYEN THI J"/>
    <x v="5"/>
    <d v="2024-06-07T00:00:00"/>
  </r>
  <r>
    <s v="Hoang Van E"/>
    <x v="2"/>
    <n v="5771"/>
    <s v="Chưa hoàn"/>
    <s v="HOANG VAN E"/>
    <x v="2"/>
    <d v="2024-06-20T00:00:00"/>
  </r>
  <r>
    <s v="Nguyen Van A"/>
    <x v="2"/>
    <n v="2646"/>
    <s v="Chưa hoàn"/>
    <s v="NGUYEN VAN A"/>
    <x v="12"/>
    <d v="2024-06-16T00:00:00"/>
  </r>
  <r>
    <s v="Pham Thi D"/>
    <x v="3"/>
    <n v="8864"/>
    <s v="Hoàn thành"/>
    <s v="PHAM THI D"/>
    <x v="13"/>
    <d v="2024-06-11T00:00:00"/>
  </r>
  <r>
    <s v="Bui Van G"/>
    <x v="3"/>
    <n v="8659"/>
    <s v="Hoàn thành"/>
    <s v="BUI VAN G"/>
    <x v="2"/>
    <d v="2024-06-16T00:00:00"/>
  </r>
  <r>
    <s v="Tran Thi B"/>
    <x v="0"/>
    <n v="2125"/>
    <s v="Hoàn thành"/>
    <s v="TRAN THI B"/>
    <x v="14"/>
    <d v="2024-06-07T00:00:00"/>
  </r>
  <r>
    <s v="Nguyen Thi J"/>
    <x v="1"/>
    <n v="4323"/>
    <s v="Hoàn thành"/>
    <s v="NGUYEN THI J"/>
    <x v="9"/>
    <d v="2024-06-14T00:00:00"/>
  </r>
  <r>
    <s v="Trinh Van I"/>
    <x v="0"/>
    <n v="7969"/>
    <s v="Hoàn thành"/>
    <s v="TRINH VAN I"/>
    <x v="4"/>
    <d v="2024-06-17T00:00:00"/>
  </r>
  <r>
    <s v="Dang Thi F"/>
    <x v="3"/>
    <n v="8162"/>
    <s v="Hoàn thành"/>
    <s v="DANG THI F"/>
    <x v="0"/>
    <d v="2024-06-25T00:00:00"/>
  </r>
  <r>
    <s v="Do Thi H"/>
    <x v="0"/>
    <n v="6153"/>
    <s v="Hoàn thành"/>
    <s v="DO THI H"/>
    <x v="5"/>
    <d v="2024-06-05T00:00:00"/>
  </r>
  <r>
    <s v="Le Van C"/>
    <x v="1"/>
    <n v="2077"/>
    <s v="Hoàn thành"/>
    <s v="LE VAN C"/>
    <x v="15"/>
    <d v="2024-06-13T00:00:00"/>
  </r>
  <r>
    <s v="Tran Thi B"/>
    <x v="3"/>
    <n v="2081"/>
    <s v="Hoàn thành"/>
    <s v="TRAN THI B"/>
    <x v="11"/>
    <d v="2024-06-21T00:00:00"/>
  </r>
  <r>
    <s v="Dang Thi F"/>
    <x v="3"/>
    <n v="5102"/>
    <s v="Chưa hoàn"/>
    <s v="DANG THI F"/>
    <x v="16"/>
    <d v="2024-06-12T00:00:00"/>
  </r>
  <r>
    <m/>
    <x v="4"/>
    <m/>
    <m/>
    <m/>
    <x v="17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s v="Hoang Van E"/>
    <x v="0"/>
    <n v="5950"/>
    <s v="Hoàn thành"/>
    <s v="HOANG VAN E"/>
    <d v="2024-06-17T00:00:00"/>
    <d v="2024-06-24T00:00:00"/>
    <n v="6000"/>
  </r>
  <r>
    <s v="Dang Thi F"/>
    <x v="1"/>
    <n v="4239"/>
    <s v="Chưa hoàn"/>
    <s v="DANG THI F"/>
    <d v="2024-06-05T00:00:00"/>
    <d v="2024-06-13T00:00:00"/>
    <n v="4000"/>
  </r>
  <r>
    <s v="Trinh Van I"/>
    <x v="1"/>
    <n v="8269"/>
    <s v="Chưa hoàn"/>
    <s v="TRINH VAN I"/>
    <d v="2024-06-14T00:00:00"/>
    <d v="2024-06-20T00:00:00"/>
    <n v="4000"/>
  </r>
  <r>
    <s v="Nguyen Van A"/>
    <x v="2"/>
    <n v="6350"/>
    <s v="Chưa hoàn"/>
    <s v="NGUYEN VAN A"/>
    <d v="2024-06-11T00:00:00"/>
    <d v="2024-06-16T00:00:00"/>
    <n v="6500"/>
  </r>
  <r>
    <s v="Bui Van G"/>
    <x v="3"/>
    <n v="4741"/>
    <s v="Hoàn thành"/>
    <s v="BUI VAN G"/>
    <d v="2024-06-15T00:00:00"/>
    <d v="2024-06-20T00:00:00"/>
    <n v="5500"/>
  </r>
  <r>
    <s v="Pham Thi D"/>
    <x v="1"/>
    <n v="8123"/>
    <s v="Chưa hoàn"/>
    <s v="PHAM THI D"/>
    <d v="2024-06-14T00:00:00"/>
    <d v="2024-06-23T00:00:00"/>
    <n v="4000"/>
  </r>
  <r>
    <s v="Do Thi H"/>
    <x v="2"/>
    <n v="7700"/>
    <s v="Chưa hoàn"/>
    <s v="DO THI H"/>
    <d v="2024-06-03T00:00:00"/>
    <d v="2024-06-12T00:00:00"/>
    <n v="6500"/>
  </r>
  <r>
    <s v="Do Thi H"/>
    <x v="3"/>
    <n v="2927"/>
    <s v="Hoàn thành"/>
    <s v="DO THI H"/>
    <d v="2024-06-18T00:00:00"/>
    <d v="2024-06-21T00:00:00"/>
    <n v="5500"/>
  </r>
  <r>
    <s v="Pham Thi D"/>
    <x v="2"/>
    <n v="4925"/>
    <s v="Hoàn thành"/>
    <s v="PHAM THI D"/>
    <d v="2024-06-16T00:00:00"/>
    <d v="2024-06-19T00:00:00"/>
    <n v="6500"/>
  </r>
  <r>
    <s v="Hoang Van E"/>
    <x v="1"/>
    <n v="8783"/>
    <s v="Hoàn thành"/>
    <s v="HOANG VAN E"/>
    <d v="2024-06-03T00:00:00"/>
    <d v="2024-06-10T00:00:00"/>
    <n v="4000"/>
  </r>
  <r>
    <s v="Dang Thi F"/>
    <x v="0"/>
    <n v="7544"/>
    <s v="Chưa hoàn"/>
    <s v="DANG THI F"/>
    <d v="2024-06-04T00:00:00"/>
    <d v="2024-06-10T00:00:00"/>
    <n v="6000"/>
  </r>
  <r>
    <s v="Le Van C"/>
    <x v="0"/>
    <n v="4811"/>
    <s v="Hoàn thành"/>
    <s v="LE VAN C"/>
    <d v="2024-06-10T00:00:00"/>
    <d v="2024-06-18T00:00:00"/>
    <n v="6000"/>
  </r>
  <r>
    <s v="Pham Thi D"/>
    <x v="2"/>
    <n v="5680"/>
    <s v="Chưa hoàn"/>
    <s v="PHAM THI D"/>
    <d v="2024-06-15T00:00:00"/>
    <d v="2024-06-20T00:00:00"/>
    <n v="6500"/>
  </r>
  <r>
    <s v="Nguyen Van A"/>
    <x v="3"/>
    <n v="9965"/>
    <s v="Hoàn thành"/>
    <s v="NGUYEN VAN A"/>
    <d v="2024-06-06T00:00:00"/>
    <d v="2024-06-08T00:00:00"/>
    <n v="5500"/>
  </r>
  <r>
    <s v="Dang Thi F"/>
    <x v="1"/>
    <n v="5248"/>
    <s v="Chưa hoàn"/>
    <s v="DANG THI F"/>
    <d v="2024-06-19T00:00:00"/>
    <d v="2024-06-21T00:00:00"/>
    <n v="4000"/>
  </r>
  <r>
    <s v="Nguyen Van A"/>
    <x v="3"/>
    <n v="5062"/>
    <s v="Hoàn thành"/>
    <s v="NGUYEN VAN A"/>
    <d v="2024-06-10T00:00:00"/>
    <d v="2024-06-13T00:00:00"/>
    <n v="5500"/>
  </r>
  <r>
    <s v="Tran Thi B"/>
    <x v="0"/>
    <n v="2950"/>
    <s v="Chưa hoàn"/>
    <s v="TRAN THI B"/>
    <d v="2024-06-19T00:00:00"/>
    <d v="2024-06-27T00:00:00"/>
    <n v="6000"/>
  </r>
  <r>
    <s v="Nguyen Thi J"/>
    <x v="2"/>
    <n v="2899"/>
    <s v="Hoàn thành"/>
    <s v="NGUYEN THI J"/>
    <d v="2024-06-03T00:00:00"/>
    <d v="2024-06-07T00:00:00"/>
    <n v="6500"/>
  </r>
  <r>
    <s v="Hoang Van E"/>
    <x v="2"/>
    <n v="5771"/>
    <s v="Chưa hoàn"/>
    <s v="HOANG VAN E"/>
    <d v="2024-06-14T00:00:00"/>
    <d v="2024-06-20T00:00:00"/>
    <n v="6500"/>
  </r>
  <r>
    <s v="Nguyen Van A"/>
    <x v="2"/>
    <n v="2646"/>
    <s v="Chưa hoàn"/>
    <s v="NGUYEN VAN A"/>
    <d v="2024-06-13T00:00:00"/>
    <d v="2024-06-16T00:00:00"/>
    <n v="6500"/>
  </r>
  <r>
    <s v="Pham Thi D"/>
    <x v="3"/>
    <n v="8864"/>
    <s v="Hoàn thành"/>
    <s v="PHAM THI D"/>
    <d v="2024-06-02T00:00:00"/>
    <d v="2024-06-11T00:00:00"/>
    <n v="5500"/>
  </r>
  <r>
    <s v="Bui Van G"/>
    <x v="3"/>
    <n v="8659"/>
    <s v="Hoàn thành"/>
    <s v="BUI VAN G"/>
    <d v="2024-06-14T00:00:00"/>
    <d v="2024-06-16T00:00:00"/>
    <n v="5500"/>
  </r>
  <r>
    <s v="Tran Thi B"/>
    <x v="0"/>
    <n v="2125"/>
    <s v="Hoàn thành"/>
    <s v="TRAN THI B"/>
    <d v="2024-06-01T00:00:00"/>
    <d v="2024-06-07T00:00:00"/>
    <n v="6000"/>
  </r>
  <r>
    <s v="Nguyen Thi J"/>
    <x v="1"/>
    <n v="4323"/>
    <s v="Hoàn thành"/>
    <s v="NGUYEN THI J"/>
    <d v="2024-06-10T00:00:00"/>
    <d v="2024-06-14T00:00:00"/>
    <n v="4000"/>
  </r>
  <r>
    <s v="Trinh Van I"/>
    <x v="0"/>
    <n v="7969"/>
    <s v="Hoàn thành"/>
    <s v="TRINH VAN I"/>
    <d v="2024-06-15T00:00:00"/>
    <d v="2024-06-17T00:00:00"/>
    <n v="6000"/>
  </r>
  <r>
    <s v="Dang Thi F"/>
    <x v="3"/>
    <n v="8162"/>
    <s v="Hoàn thành"/>
    <s v="DANG THI F"/>
    <d v="2024-06-17T00:00:00"/>
    <d v="2024-06-25T00:00:00"/>
    <n v="5500"/>
  </r>
  <r>
    <s v="Do Thi H"/>
    <x v="0"/>
    <n v="6153"/>
    <s v="Hoàn thành"/>
    <s v="DO THI H"/>
    <d v="2024-06-03T00:00:00"/>
    <d v="2024-06-05T00:00:00"/>
    <n v="6000"/>
  </r>
  <r>
    <s v="Le Van C"/>
    <x v="1"/>
    <n v="2077"/>
    <s v="Hoàn thành"/>
    <s v="LE VAN C"/>
    <d v="2024-06-09T00:00:00"/>
    <d v="2024-06-13T00:00:00"/>
    <n v="4000"/>
  </r>
  <r>
    <s v="Tran Thi B"/>
    <x v="3"/>
    <n v="2081"/>
    <s v="Hoàn thành"/>
    <s v="TRAN THI B"/>
    <d v="2024-06-19T00:00:00"/>
    <d v="2024-06-21T00:00:00"/>
    <n v="5500"/>
  </r>
  <r>
    <s v="Dang Thi F"/>
    <x v="3"/>
    <n v="5102"/>
    <s v="Chưa hoàn"/>
    <s v="DANG THI F"/>
    <d v="2024-06-07T00:00:00"/>
    <d v="2024-06-12T00:00:00"/>
    <n v="5500"/>
  </r>
  <r>
    <m/>
    <x v="4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D21742-735A-4A4D-A938-2720893F0F0D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7">
    <pivotField showAll="0"/>
    <pivotField axis="axisRow" showAll="0">
      <items count="6">
        <item x="1"/>
        <item x="2"/>
        <item x="3"/>
        <item x="0"/>
        <item h="1" x="4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Doanh thu" fld="2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9D3671-4475-4E00-8044-297F70E085B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1" firstHeaderRow="1" firstDataRow="1" firstDataCol="1"/>
  <pivotFields count="7">
    <pivotField showAll="0"/>
    <pivotField showAll="0"/>
    <pivotField dataField="1" showAll="0"/>
    <pivotField showAll="0"/>
    <pivotField showAll="0"/>
    <pivotField axis="axisRow" showAll="0">
      <items count="19">
        <item x="14"/>
        <item x="13"/>
        <item x="5"/>
        <item x="8"/>
        <item x="1"/>
        <item x="10"/>
        <item x="16"/>
        <item x="15"/>
        <item x="9"/>
        <item x="3"/>
        <item x="12"/>
        <item x="2"/>
        <item x="4"/>
        <item x="7"/>
        <item x="0"/>
        <item x="6"/>
        <item x="11"/>
        <item h="1" x="17"/>
        <item t="default"/>
      </items>
    </pivotField>
    <pivotField showAll="0"/>
  </pivotFields>
  <rowFields count="1">
    <field x="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Doanh thu" fld="2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8D2A43-B14C-4B9A-9010-6808B97D4A03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8" firstHeaderRow="0" firstDataRow="1" firstDataCol="1"/>
  <pivotFields count="8">
    <pivotField showAll="0"/>
    <pivotField axis="axisRow" showAll="0">
      <items count="6">
        <item x="1"/>
        <item x="2"/>
        <item x="3"/>
        <item x="0"/>
        <item h="1" x="4"/>
        <item t="default"/>
      </items>
    </pivotField>
    <pivotField dataField="1" showAll="0"/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oanh thu" fld="2" subtotal="average" baseField="1" baseItem="0"/>
    <dataField name="Max of Lương cơ bản" fld="7" subtotal="max" baseField="1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CB79A-644A-4E23-BA3D-50E2A930467E}">
  <dimension ref="A3:B8"/>
  <sheetViews>
    <sheetView workbookViewId="0">
      <selection activeCell="B20" sqref="B20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3" t="s">
        <v>34</v>
      </c>
      <c r="B3" t="s">
        <v>36</v>
      </c>
    </row>
    <row r="4" spans="1:2" x14ac:dyDescent="0.3">
      <c r="A4" s="4" t="s">
        <v>18</v>
      </c>
      <c r="B4">
        <v>41062</v>
      </c>
    </row>
    <row r="5" spans="1:2" x14ac:dyDescent="0.3">
      <c r="A5" s="4" t="s">
        <v>19</v>
      </c>
      <c r="B5">
        <v>35971</v>
      </c>
    </row>
    <row r="6" spans="1:2" x14ac:dyDescent="0.3">
      <c r="A6" s="4" t="s">
        <v>20</v>
      </c>
      <c r="B6">
        <v>55563</v>
      </c>
    </row>
    <row r="7" spans="1:2" x14ac:dyDescent="0.3">
      <c r="A7" s="4" t="s">
        <v>17</v>
      </c>
      <c r="B7">
        <v>37502</v>
      </c>
    </row>
    <row r="8" spans="1:2" x14ac:dyDescent="0.3">
      <c r="A8" s="4" t="s">
        <v>35</v>
      </c>
      <c r="B8">
        <v>170098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2E7C7-A62A-420A-B205-719D58CE0B58}">
  <dimension ref="A3:B21"/>
  <sheetViews>
    <sheetView workbookViewId="0">
      <selection activeCell="F24" sqref="F24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3" t="s">
        <v>34</v>
      </c>
      <c r="B3" t="s">
        <v>36</v>
      </c>
    </row>
    <row r="4" spans="1:2" x14ac:dyDescent="0.3">
      <c r="A4" s="5">
        <v>45444</v>
      </c>
      <c r="B4">
        <v>2125</v>
      </c>
    </row>
    <row r="5" spans="1:2" x14ac:dyDescent="0.3">
      <c r="A5" s="5">
        <v>45445</v>
      </c>
      <c r="B5">
        <v>8864</v>
      </c>
    </row>
    <row r="6" spans="1:2" x14ac:dyDescent="0.3">
      <c r="A6" s="5">
        <v>45446</v>
      </c>
      <c r="B6">
        <v>25535</v>
      </c>
    </row>
    <row r="7" spans="1:2" x14ac:dyDescent="0.3">
      <c r="A7" s="5">
        <v>45447</v>
      </c>
      <c r="B7">
        <v>7544</v>
      </c>
    </row>
    <row r="8" spans="1:2" x14ac:dyDescent="0.3">
      <c r="A8" s="5">
        <v>45448</v>
      </c>
      <c r="B8">
        <v>4239</v>
      </c>
    </row>
    <row r="9" spans="1:2" x14ac:dyDescent="0.3">
      <c r="A9" s="5">
        <v>45449</v>
      </c>
      <c r="B9">
        <v>9965</v>
      </c>
    </row>
    <row r="10" spans="1:2" x14ac:dyDescent="0.3">
      <c r="A10" s="5">
        <v>45450</v>
      </c>
      <c r="B10">
        <v>5102</v>
      </c>
    </row>
    <row r="11" spans="1:2" x14ac:dyDescent="0.3">
      <c r="A11" s="5">
        <v>45452</v>
      </c>
      <c r="B11">
        <v>2077</v>
      </c>
    </row>
    <row r="12" spans="1:2" x14ac:dyDescent="0.3">
      <c r="A12" s="5">
        <v>45453</v>
      </c>
      <c r="B12">
        <v>14196</v>
      </c>
    </row>
    <row r="13" spans="1:2" x14ac:dyDescent="0.3">
      <c r="A13" s="5">
        <v>45454</v>
      </c>
      <c r="B13">
        <v>6350</v>
      </c>
    </row>
    <row r="14" spans="1:2" x14ac:dyDescent="0.3">
      <c r="A14" s="5">
        <v>45456</v>
      </c>
      <c r="B14">
        <v>2646</v>
      </c>
    </row>
    <row r="15" spans="1:2" x14ac:dyDescent="0.3">
      <c r="A15" s="5">
        <v>45457</v>
      </c>
      <c r="B15">
        <v>30822</v>
      </c>
    </row>
    <row r="16" spans="1:2" x14ac:dyDescent="0.3">
      <c r="A16" s="5">
        <v>45458</v>
      </c>
      <c r="B16">
        <v>18390</v>
      </c>
    </row>
    <row r="17" spans="1:2" x14ac:dyDescent="0.3">
      <c r="A17" s="5">
        <v>45459</v>
      </c>
      <c r="B17">
        <v>4925</v>
      </c>
    </row>
    <row r="18" spans="1:2" x14ac:dyDescent="0.3">
      <c r="A18" s="5">
        <v>45460</v>
      </c>
      <c r="B18">
        <v>14112</v>
      </c>
    </row>
    <row r="19" spans="1:2" x14ac:dyDescent="0.3">
      <c r="A19" s="5">
        <v>45461</v>
      </c>
      <c r="B19">
        <v>2927</v>
      </c>
    </row>
    <row r="20" spans="1:2" x14ac:dyDescent="0.3">
      <c r="A20" s="5">
        <v>45462</v>
      </c>
      <c r="B20">
        <v>10279</v>
      </c>
    </row>
    <row r="21" spans="1:2" x14ac:dyDescent="0.3">
      <c r="A21" s="4" t="s">
        <v>35</v>
      </c>
      <c r="B21">
        <v>170098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BC2BA-F38B-42BE-B039-44AD11F953A8}">
  <dimension ref="A3:C8"/>
  <sheetViews>
    <sheetView tabSelected="1" workbookViewId="0">
      <selection activeCell="D24" sqref="D24"/>
    </sheetView>
  </sheetViews>
  <sheetFormatPr defaultRowHeight="14.4" x14ac:dyDescent="0.3"/>
  <cols>
    <col min="1" max="1" width="12.5546875" bestFit="1" customWidth="1"/>
    <col min="2" max="2" width="19.6640625" bestFit="1" customWidth="1"/>
    <col min="3" max="3" width="19.33203125" bestFit="1" customWidth="1"/>
  </cols>
  <sheetData>
    <row r="3" spans="1:3" x14ac:dyDescent="0.3">
      <c r="A3" s="3" t="s">
        <v>34</v>
      </c>
      <c r="B3" t="s">
        <v>37</v>
      </c>
      <c r="C3" t="s">
        <v>38</v>
      </c>
    </row>
    <row r="4" spans="1:3" x14ac:dyDescent="0.3">
      <c r="A4" s="4" t="s">
        <v>18</v>
      </c>
      <c r="B4">
        <v>5866</v>
      </c>
      <c r="C4">
        <v>4000</v>
      </c>
    </row>
    <row r="5" spans="1:3" x14ac:dyDescent="0.3">
      <c r="A5" s="4" t="s">
        <v>19</v>
      </c>
      <c r="B5">
        <v>5138.7142857142853</v>
      </c>
      <c r="C5">
        <v>6500</v>
      </c>
    </row>
    <row r="6" spans="1:3" x14ac:dyDescent="0.3">
      <c r="A6" s="4" t="s">
        <v>20</v>
      </c>
      <c r="B6">
        <v>6173.666666666667</v>
      </c>
      <c r="C6">
        <v>5500</v>
      </c>
    </row>
    <row r="7" spans="1:3" x14ac:dyDescent="0.3">
      <c r="A7" s="4" t="s">
        <v>17</v>
      </c>
      <c r="B7">
        <v>5357.4285714285716</v>
      </c>
      <c r="C7">
        <v>6000</v>
      </c>
    </row>
    <row r="8" spans="1:3" x14ac:dyDescent="0.3">
      <c r="A8" s="4" t="s">
        <v>35</v>
      </c>
      <c r="B8">
        <v>5669.9333333333334</v>
      </c>
      <c r="C8">
        <v>6500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>
      <selection sqref="A1:XFD1048576"/>
    </sheetView>
  </sheetViews>
  <sheetFormatPr defaultRowHeight="14.4" x14ac:dyDescent="0.3"/>
  <cols>
    <col min="1" max="7" width="15.109375" customWidth="1"/>
    <col min="8" max="8" width="13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33</v>
      </c>
    </row>
    <row r="2" spans="1:8" x14ac:dyDescent="0.3">
      <c r="A2" t="s">
        <v>7</v>
      </c>
      <c r="B2" t="s">
        <v>17</v>
      </c>
      <c r="C2">
        <v>5950</v>
      </c>
      <c r="D2" t="s">
        <v>21</v>
      </c>
      <c r="E2" t="s">
        <v>23</v>
      </c>
      <c r="F2" s="2">
        <v>45460</v>
      </c>
      <c r="G2" s="2">
        <v>45467</v>
      </c>
      <c r="H2">
        <f>VLOOKUP(B2, 'Bang luong tra cuu'!$A$2:$B$5, 2, FALSE)</f>
        <v>6000</v>
      </c>
    </row>
    <row r="3" spans="1:8" x14ac:dyDescent="0.3">
      <c r="A3" t="s">
        <v>8</v>
      </c>
      <c r="B3" t="s">
        <v>18</v>
      </c>
      <c r="C3">
        <v>4239</v>
      </c>
      <c r="D3" t="s">
        <v>22</v>
      </c>
      <c r="E3" t="s">
        <v>24</v>
      </c>
      <c r="F3" s="2">
        <v>45448</v>
      </c>
      <c r="G3" s="2">
        <v>45456</v>
      </c>
      <c r="H3">
        <f>VLOOKUP(B3, 'Bang luong tra cuu'!$A$2:$B$5, 2, FALSE)</f>
        <v>4000</v>
      </c>
    </row>
    <row r="4" spans="1:8" x14ac:dyDescent="0.3">
      <c r="A4" t="s">
        <v>9</v>
      </c>
      <c r="B4" t="s">
        <v>18</v>
      </c>
      <c r="C4">
        <v>8269</v>
      </c>
      <c r="D4" t="s">
        <v>22</v>
      </c>
      <c r="E4" t="s">
        <v>25</v>
      </c>
      <c r="F4" s="2">
        <v>45457</v>
      </c>
      <c r="G4" s="2">
        <v>45463</v>
      </c>
      <c r="H4">
        <f>VLOOKUP(B4, 'Bang luong tra cuu'!$A$2:$B$5, 2, FALSE)</f>
        <v>4000</v>
      </c>
    </row>
    <row r="5" spans="1:8" x14ac:dyDescent="0.3">
      <c r="A5" t="s">
        <v>10</v>
      </c>
      <c r="B5" t="s">
        <v>19</v>
      </c>
      <c r="C5">
        <v>6350</v>
      </c>
      <c r="D5" t="s">
        <v>22</v>
      </c>
      <c r="E5" t="s">
        <v>26</v>
      </c>
      <c r="F5" s="2">
        <v>45454</v>
      </c>
      <c r="G5" s="2">
        <v>45459</v>
      </c>
      <c r="H5">
        <f>VLOOKUP(B5, 'Bang luong tra cuu'!$A$2:$B$5, 2, FALSE)</f>
        <v>6500</v>
      </c>
    </row>
    <row r="6" spans="1:8" x14ac:dyDescent="0.3">
      <c r="A6" t="s">
        <v>11</v>
      </c>
      <c r="B6" t="s">
        <v>20</v>
      </c>
      <c r="C6">
        <v>4741</v>
      </c>
      <c r="D6" t="s">
        <v>21</v>
      </c>
      <c r="E6" t="s">
        <v>27</v>
      </c>
      <c r="F6" s="2">
        <v>45458</v>
      </c>
      <c r="G6" s="2">
        <v>45463</v>
      </c>
      <c r="H6">
        <f>VLOOKUP(B6, 'Bang luong tra cuu'!$A$2:$B$5, 2, FALSE)</f>
        <v>5500</v>
      </c>
    </row>
    <row r="7" spans="1:8" x14ac:dyDescent="0.3">
      <c r="A7" t="s">
        <v>12</v>
      </c>
      <c r="B7" t="s">
        <v>18</v>
      </c>
      <c r="C7">
        <v>8123</v>
      </c>
      <c r="D7" t="s">
        <v>22</v>
      </c>
      <c r="E7" t="s">
        <v>28</v>
      </c>
      <c r="F7" s="2">
        <v>45457</v>
      </c>
      <c r="G7" s="2">
        <v>45466</v>
      </c>
      <c r="H7">
        <f>VLOOKUP(B7, 'Bang luong tra cuu'!$A$2:$B$5, 2, FALSE)</f>
        <v>4000</v>
      </c>
    </row>
    <row r="8" spans="1:8" x14ac:dyDescent="0.3">
      <c r="A8" t="s">
        <v>13</v>
      </c>
      <c r="B8" t="s">
        <v>19</v>
      </c>
      <c r="C8">
        <v>7700</v>
      </c>
      <c r="D8" t="s">
        <v>22</v>
      </c>
      <c r="E8" t="s">
        <v>29</v>
      </c>
      <c r="F8" s="2">
        <v>45446</v>
      </c>
      <c r="G8" s="2">
        <v>45455</v>
      </c>
      <c r="H8">
        <f>VLOOKUP(B8, 'Bang luong tra cuu'!$A$2:$B$5, 2, FALSE)</f>
        <v>6500</v>
      </c>
    </row>
    <row r="9" spans="1:8" x14ac:dyDescent="0.3">
      <c r="A9" t="s">
        <v>13</v>
      </c>
      <c r="B9" t="s">
        <v>20</v>
      </c>
      <c r="C9">
        <v>2927</v>
      </c>
      <c r="D9" t="s">
        <v>21</v>
      </c>
      <c r="E9" t="s">
        <v>29</v>
      </c>
      <c r="F9" s="2">
        <v>45461</v>
      </c>
      <c r="G9" s="2">
        <v>45464</v>
      </c>
      <c r="H9">
        <f>VLOOKUP(B9, 'Bang luong tra cuu'!$A$2:$B$5, 2, FALSE)</f>
        <v>5500</v>
      </c>
    </row>
    <row r="10" spans="1:8" x14ac:dyDescent="0.3">
      <c r="A10" t="s">
        <v>12</v>
      </c>
      <c r="B10" t="s">
        <v>19</v>
      </c>
      <c r="C10">
        <v>4925</v>
      </c>
      <c r="D10" t="s">
        <v>21</v>
      </c>
      <c r="E10" t="s">
        <v>28</v>
      </c>
      <c r="F10" s="2">
        <v>45459</v>
      </c>
      <c r="G10" s="2">
        <v>45462</v>
      </c>
      <c r="H10">
        <f>VLOOKUP(B10, 'Bang luong tra cuu'!$A$2:$B$5, 2, FALSE)</f>
        <v>6500</v>
      </c>
    </row>
    <row r="11" spans="1:8" x14ac:dyDescent="0.3">
      <c r="A11" t="s">
        <v>7</v>
      </c>
      <c r="B11" t="s">
        <v>18</v>
      </c>
      <c r="C11">
        <v>8783</v>
      </c>
      <c r="D11" t="s">
        <v>21</v>
      </c>
      <c r="E11" t="s">
        <v>23</v>
      </c>
      <c r="F11" s="2">
        <v>45446</v>
      </c>
      <c r="G11" s="2">
        <v>45453</v>
      </c>
      <c r="H11">
        <f>VLOOKUP(B11, 'Bang luong tra cuu'!$A$2:$B$5, 2, FALSE)</f>
        <v>4000</v>
      </c>
    </row>
    <row r="12" spans="1:8" x14ac:dyDescent="0.3">
      <c r="A12" t="s">
        <v>8</v>
      </c>
      <c r="B12" t="s">
        <v>17</v>
      </c>
      <c r="C12">
        <v>7544</v>
      </c>
      <c r="D12" t="s">
        <v>22</v>
      </c>
      <c r="E12" t="s">
        <v>24</v>
      </c>
      <c r="F12" s="2">
        <v>45447</v>
      </c>
      <c r="G12" s="2">
        <v>45453</v>
      </c>
      <c r="H12">
        <f>VLOOKUP(B12, 'Bang luong tra cuu'!$A$2:$B$5, 2, FALSE)</f>
        <v>6000</v>
      </c>
    </row>
    <row r="13" spans="1:8" x14ac:dyDescent="0.3">
      <c r="A13" t="s">
        <v>14</v>
      </c>
      <c r="B13" t="s">
        <v>17</v>
      </c>
      <c r="C13">
        <v>4811</v>
      </c>
      <c r="D13" t="s">
        <v>21</v>
      </c>
      <c r="E13" t="s">
        <v>30</v>
      </c>
      <c r="F13" s="2">
        <v>45453</v>
      </c>
      <c r="G13" s="2">
        <v>45461</v>
      </c>
      <c r="H13">
        <f>VLOOKUP(B13, 'Bang luong tra cuu'!$A$2:$B$5, 2, FALSE)</f>
        <v>6000</v>
      </c>
    </row>
    <row r="14" spans="1:8" x14ac:dyDescent="0.3">
      <c r="A14" t="s">
        <v>12</v>
      </c>
      <c r="B14" t="s">
        <v>19</v>
      </c>
      <c r="C14">
        <v>5680</v>
      </c>
      <c r="D14" t="s">
        <v>22</v>
      </c>
      <c r="E14" t="s">
        <v>28</v>
      </c>
      <c r="F14" s="2">
        <v>45458</v>
      </c>
      <c r="G14" s="2">
        <v>45463</v>
      </c>
      <c r="H14">
        <f>VLOOKUP(B14, 'Bang luong tra cuu'!$A$2:$B$5, 2, FALSE)</f>
        <v>6500</v>
      </c>
    </row>
    <row r="15" spans="1:8" x14ac:dyDescent="0.3">
      <c r="A15" t="s">
        <v>10</v>
      </c>
      <c r="B15" t="s">
        <v>20</v>
      </c>
      <c r="C15">
        <v>9965</v>
      </c>
      <c r="D15" t="s">
        <v>21</v>
      </c>
      <c r="E15" t="s">
        <v>26</v>
      </c>
      <c r="F15" s="2">
        <v>45449</v>
      </c>
      <c r="G15" s="2">
        <v>45451</v>
      </c>
      <c r="H15">
        <f>VLOOKUP(B15, 'Bang luong tra cuu'!$A$2:$B$5, 2, FALSE)</f>
        <v>5500</v>
      </c>
    </row>
    <row r="16" spans="1:8" x14ac:dyDescent="0.3">
      <c r="A16" t="s">
        <v>8</v>
      </c>
      <c r="B16" t="s">
        <v>18</v>
      </c>
      <c r="C16">
        <v>5248</v>
      </c>
      <c r="D16" t="s">
        <v>22</v>
      </c>
      <c r="E16" t="s">
        <v>24</v>
      </c>
      <c r="F16" s="2">
        <v>45462</v>
      </c>
      <c r="G16" s="2">
        <v>45464</v>
      </c>
      <c r="H16">
        <f>VLOOKUP(B16, 'Bang luong tra cuu'!$A$2:$B$5, 2, FALSE)</f>
        <v>4000</v>
      </c>
    </row>
    <row r="17" spans="1:8" x14ac:dyDescent="0.3">
      <c r="A17" t="s">
        <v>10</v>
      </c>
      <c r="B17" t="s">
        <v>20</v>
      </c>
      <c r="C17">
        <v>5062</v>
      </c>
      <c r="D17" t="s">
        <v>21</v>
      </c>
      <c r="E17" t="s">
        <v>26</v>
      </c>
      <c r="F17" s="2">
        <v>45453</v>
      </c>
      <c r="G17" s="2">
        <v>45456</v>
      </c>
      <c r="H17">
        <f>VLOOKUP(B17, 'Bang luong tra cuu'!$A$2:$B$5, 2, FALSE)</f>
        <v>5500</v>
      </c>
    </row>
    <row r="18" spans="1:8" x14ac:dyDescent="0.3">
      <c r="A18" t="s">
        <v>15</v>
      </c>
      <c r="B18" t="s">
        <v>17</v>
      </c>
      <c r="C18">
        <v>2950</v>
      </c>
      <c r="D18" t="s">
        <v>22</v>
      </c>
      <c r="E18" t="s">
        <v>31</v>
      </c>
      <c r="F18" s="2">
        <v>45462</v>
      </c>
      <c r="G18" s="2">
        <v>45470</v>
      </c>
      <c r="H18">
        <f>VLOOKUP(B18, 'Bang luong tra cuu'!$A$2:$B$5, 2, FALSE)</f>
        <v>6000</v>
      </c>
    </row>
    <row r="19" spans="1:8" x14ac:dyDescent="0.3">
      <c r="A19" t="s">
        <v>16</v>
      </c>
      <c r="B19" t="s">
        <v>19</v>
      </c>
      <c r="C19">
        <v>2899</v>
      </c>
      <c r="D19" t="s">
        <v>21</v>
      </c>
      <c r="E19" t="s">
        <v>32</v>
      </c>
      <c r="F19" s="2">
        <v>45446</v>
      </c>
      <c r="G19" s="2">
        <v>45450</v>
      </c>
      <c r="H19">
        <f>VLOOKUP(B19, 'Bang luong tra cuu'!$A$2:$B$5, 2, FALSE)</f>
        <v>6500</v>
      </c>
    </row>
    <row r="20" spans="1:8" x14ac:dyDescent="0.3">
      <c r="A20" t="s">
        <v>7</v>
      </c>
      <c r="B20" t="s">
        <v>19</v>
      </c>
      <c r="C20">
        <v>5771</v>
      </c>
      <c r="D20" t="s">
        <v>22</v>
      </c>
      <c r="E20" t="s">
        <v>23</v>
      </c>
      <c r="F20" s="2">
        <v>45457</v>
      </c>
      <c r="G20" s="2">
        <v>45463</v>
      </c>
      <c r="H20">
        <f>VLOOKUP(B20, 'Bang luong tra cuu'!$A$2:$B$5, 2, FALSE)</f>
        <v>6500</v>
      </c>
    </row>
    <row r="21" spans="1:8" x14ac:dyDescent="0.3">
      <c r="A21" t="s">
        <v>10</v>
      </c>
      <c r="B21" t="s">
        <v>19</v>
      </c>
      <c r="C21">
        <v>2646</v>
      </c>
      <c r="D21" t="s">
        <v>22</v>
      </c>
      <c r="E21" t="s">
        <v>26</v>
      </c>
      <c r="F21" s="2">
        <v>45456</v>
      </c>
      <c r="G21" s="2">
        <v>45459</v>
      </c>
      <c r="H21">
        <f>VLOOKUP(B21, 'Bang luong tra cuu'!$A$2:$B$5, 2, FALSE)</f>
        <v>6500</v>
      </c>
    </row>
    <row r="22" spans="1:8" x14ac:dyDescent="0.3">
      <c r="A22" t="s">
        <v>12</v>
      </c>
      <c r="B22" t="s">
        <v>20</v>
      </c>
      <c r="C22">
        <v>8864</v>
      </c>
      <c r="D22" t="s">
        <v>21</v>
      </c>
      <c r="E22" t="s">
        <v>28</v>
      </c>
      <c r="F22" s="2">
        <v>45445</v>
      </c>
      <c r="G22" s="2">
        <v>45454</v>
      </c>
      <c r="H22">
        <f>VLOOKUP(B22, 'Bang luong tra cuu'!$A$2:$B$5, 2, FALSE)</f>
        <v>5500</v>
      </c>
    </row>
    <row r="23" spans="1:8" x14ac:dyDescent="0.3">
      <c r="A23" t="s">
        <v>11</v>
      </c>
      <c r="B23" t="s">
        <v>20</v>
      </c>
      <c r="C23">
        <v>8659</v>
      </c>
      <c r="D23" t="s">
        <v>21</v>
      </c>
      <c r="E23" t="s">
        <v>27</v>
      </c>
      <c r="F23" s="2">
        <v>45457</v>
      </c>
      <c r="G23" s="2">
        <v>45459</v>
      </c>
      <c r="H23">
        <f>VLOOKUP(B23, 'Bang luong tra cuu'!$A$2:$B$5, 2, FALSE)</f>
        <v>5500</v>
      </c>
    </row>
    <row r="24" spans="1:8" x14ac:dyDescent="0.3">
      <c r="A24" t="s">
        <v>15</v>
      </c>
      <c r="B24" t="s">
        <v>17</v>
      </c>
      <c r="C24">
        <v>2125</v>
      </c>
      <c r="D24" t="s">
        <v>21</v>
      </c>
      <c r="E24" t="s">
        <v>31</v>
      </c>
      <c r="F24" s="2">
        <v>45444</v>
      </c>
      <c r="G24" s="2">
        <v>45450</v>
      </c>
      <c r="H24">
        <f>VLOOKUP(B24, 'Bang luong tra cuu'!$A$2:$B$5, 2, FALSE)</f>
        <v>6000</v>
      </c>
    </row>
    <row r="25" spans="1:8" x14ac:dyDescent="0.3">
      <c r="A25" t="s">
        <v>16</v>
      </c>
      <c r="B25" t="s">
        <v>18</v>
      </c>
      <c r="C25">
        <v>4323</v>
      </c>
      <c r="D25" t="s">
        <v>21</v>
      </c>
      <c r="E25" t="s">
        <v>32</v>
      </c>
      <c r="F25" s="2">
        <v>45453</v>
      </c>
      <c r="G25" s="2">
        <v>45457</v>
      </c>
      <c r="H25">
        <f>VLOOKUP(B25, 'Bang luong tra cuu'!$A$2:$B$5, 2, FALSE)</f>
        <v>4000</v>
      </c>
    </row>
    <row r="26" spans="1:8" x14ac:dyDescent="0.3">
      <c r="A26" t="s">
        <v>9</v>
      </c>
      <c r="B26" t="s">
        <v>17</v>
      </c>
      <c r="C26">
        <v>7969</v>
      </c>
      <c r="D26" t="s">
        <v>21</v>
      </c>
      <c r="E26" t="s">
        <v>25</v>
      </c>
      <c r="F26" s="2">
        <v>45458</v>
      </c>
      <c r="G26" s="2">
        <v>45460</v>
      </c>
      <c r="H26">
        <f>VLOOKUP(B26, 'Bang luong tra cuu'!$A$2:$B$5, 2, FALSE)</f>
        <v>6000</v>
      </c>
    </row>
    <row r="27" spans="1:8" x14ac:dyDescent="0.3">
      <c r="A27" t="s">
        <v>8</v>
      </c>
      <c r="B27" t="s">
        <v>20</v>
      </c>
      <c r="C27">
        <v>8162</v>
      </c>
      <c r="D27" t="s">
        <v>21</v>
      </c>
      <c r="E27" t="s">
        <v>24</v>
      </c>
      <c r="F27" s="2">
        <v>45460</v>
      </c>
      <c r="G27" s="2">
        <v>45468</v>
      </c>
      <c r="H27">
        <f>VLOOKUP(B27, 'Bang luong tra cuu'!$A$2:$B$5, 2, FALSE)</f>
        <v>5500</v>
      </c>
    </row>
    <row r="28" spans="1:8" x14ac:dyDescent="0.3">
      <c r="A28" t="s">
        <v>13</v>
      </c>
      <c r="B28" t="s">
        <v>17</v>
      </c>
      <c r="C28">
        <v>6153</v>
      </c>
      <c r="D28" t="s">
        <v>21</v>
      </c>
      <c r="E28" t="s">
        <v>29</v>
      </c>
      <c r="F28" s="2">
        <v>45446</v>
      </c>
      <c r="G28" s="2">
        <v>45448</v>
      </c>
      <c r="H28">
        <f>VLOOKUP(B28, 'Bang luong tra cuu'!$A$2:$B$5, 2, FALSE)</f>
        <v>6000</v>
      </c>
    </row>
    <row r="29" spans="1:8" x14ac:dyDescent="0.3">
      <c r="A29" t="s">
        <v>14</v>
      </c>
      <c r="B29" t="s">
        <v>18</v>
      </c>
      <c r="C29">
        <v>2077</v>
      </c>
      <c r="D29" t="s">
        <v>21</v>
      </c>
      <c r="E29" t="s">
        <v>30</v>
      </c>
      <c r="F29" s="2">
        <v>45452</v>
      </c>
      <c r="G29" s="2">
        <v>45456</v>
      </c>
      <c r="H29">
        <f>VLOOKUP(B29, 'Bang luong tra cuu'!$A$2:$B$5, 2, FALSE)</f>
        <v>4000</v>
      </c>
    </row>
    <row r="30" spans="1:8" x14ac:dyDescent="0.3">
      <c r="A30" t="s">
        <v>15</v>
      </c>
      <c r="B30" t="s">
        <v>20</v>
      </c>
      <c r="C30">
        <v>2081</v>
      </c>
      <c r="D30" t="s">
        <v>21</v>
      </c>
      <c r="E30" t="s">
        <v>31</v>
      </c>
      <c r="F30" s="2">
        <v>45462</v>
      </c>
      <c r="G30" s="2">
        <v>45464</v>
      </c>
      <c r="H30">
        <f>VLOOKUP(B30, 'Bang luong tra cuu'!$A$2:$B$5, 2, FALSE)</f>
        <v>5500</v>
      </c>
    </row>
    <row r="31" spans="1:8" x14ac:dyDescent="0.3">
      <c r="A31" t="s">
        <v>8</v>
      </c>
      <c r="B31" t="s">
        <v>20</v>
      </c>
      <c r="C31">
        <v>5102</v>
      </c>
      <c r="D31" t="s">
        <v>22</v>
      </c>
      <c r="E31" t="s">
        <v>24</v>
      </c>
      <c r="F31" s="2">
        <v>45450</v>
      </c>
      <c r="G31" s="2">
        <v>45455</v>
      </c>
      <c r="H31">
        <f>VLOOKUP(B31, 'Bang luong tra cuu'!$A$2:$B$5, 2, FALSE)</f>
        <v>5500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1</v>
      </c>
      <c r="B1" s="1" t="s">
        <v>33</v>
      </c>
    </row>
    <row r="2" spans="1:2" x14ac:dyDescent="0.3">
      <c r="A2" t="s">
        <v>17</v>
      </c>
      <c r="B2">
        <v>6000</v>
      </c>
    </row>
    <row r="3" spans="1:2" x14ac:dyDescent="0.3">
      <c r="A3" t="s">
        <v>18</v>
      </c>
      <c r="B3">
        <v>4000</v>
      </c>
    </row>
    <row r="4" spans="1:2" x14ac:dyDescent="0.3">
      <c r="A4" t="s">
        <v>20</v>
      </c>
      <c r="B4">
        <v>5500</v>
      </c>
    </row>
    <row r="5" spans="1:2" x14ac:dyDescent="0.3">
      <c r="A5" t="s">
        <v>19</v>
      </c>
      <c r="B5">
        <v>6500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9D3B1A3CBCA94C9C619CD08E0E4046" ma:contentTypeVersion="17" ma:contentTypeDescription="Create a new document." ma:contentTypeScope="" ma:versionID="9318375d1ce6441558b5f48286c88a85">
  <xsd:schema xmlns:xsd="http://www.w3.org/2001/XMLSchema" xmlns:xs="http://www.w3.org/2001/XMLSchema" xmlns:p="http://schemas.microsoft.com/office/2006/metadata/properties" xmlns:ns3="520977d3-e5b6-4195-9522-2071cc7a7d60" xmlns:ns4="ff7972f0-e6b1-4e81-bd6d-6d5a7ea56092" targetNamespace="http://schemas.microsoft.com/office/2006/metadata/properties" ma:root="true" ma:fieldsID="4e16bed0848fef8ca41883df276aa630" ns3:_="" ns4:_="">
    <xsd:import namespace="520977d3-e5b6-4195-9522-2071cc7a7d60"/>
    <xsd:import namespace="ff7972f0-e6b1-4e81-bd6d-6d5a7ea5609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0977d3-e5b6-4195-9522-2071cc7a7d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972f0-e6b1-4e81-bd6d-6d5a7ea5609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20977d3-e5b6-4195-9522-2071cc7a7d6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EADDAC-4403-4C4F-9B40-5E523DB940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0977d3-e5b6-4195-9522-2071cc7a7d60"/>
    <ds:schemaRef ds:uri="ff7972f0-e6b1-4e81-bd6d-6d5a7ea560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129A13-CD36-4C9F-8775-EFD481FF20D4}">
  <ds:schemaRefs>
    <ds:schemaRef ds:uri="http://purl.org/dc/terms/"/>
    <ds:schemaRef ds:uri="http://schemas.microsoft.com/office/2006/documentManagement/types"/>
    <ds:schemaRef ds:uri="520977d3-e5b6-4195-9522-2071cc7a7d60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infopath/2007/PartnerControls"/>
    <ds:schemaRef ds:uri="ff7972f0-e6b1-4e81-bd6d-6d5a7ea56092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BC425BF-2FFB-485D-8EAA-91D32FF402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cột</vt:lpstr>
      <vt:lpstr>đường</vt:lpstr>
      <vt:lpstr>kết hợp</vt:lpstr>
      <vt:lpstr>Bai tap chinh</vt:lpstr>
      <vt:lpstr>Bang luong tra cuu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Junny Nguy</dc:creator>
  <cp:lastModifiedBy>Nguy Thi Lan Anh 20202019</cp:lastModifiedBy>
  <dcterms:created xsi:type="dcterms:W3CDTF">2025-07-03T01:49:44Z</dcterms:created>
  <dcterms:modified xsi:type="dcterms:W3CDTF">2025-07-04T14:45:55Z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0x0101006D9D3B1A3CBCA94C9C619CD08E0E4046</vt:lpwstr>
  </property>
</Properties>
</file>